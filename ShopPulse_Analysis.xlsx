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ee91fe96f9945d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ales Data" sheetId="1" r:id="R7b63a19d1f5f49c8"/>
    <x:sheet xmlns:r="http://schemas.openxmlformats.org/officeDocument/2006/relationships" name="Analysis" sheetId="2" r:id="R36d10c8df497427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72554"/>
      </x:patternFill>
    </x:fill>
    <x:fill>
      <x:patternFill patternType="solid">
        <x:fgColor rgb="FF1D4ED8"/>
      </x:patternFill>
    </x:fill>
  </x:fills>
  <x:borders count="2">
    <x:border/>
    <x:border/>
  </x:borders>
  <x:cellStyleXfs count="1">
    <x:xf numFmtId="0" fontId="0" fillId="0" borderId="0"/>
  </x:cellStyleXfs>
  <x:cellXfs count="1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0" fillId="3" borderId="1" xfId="0" applyNumberFormat="1" applyFont="1" applyFill="1" applyBorder="1"/>
    <x:xf numFmtId="0" fontId="1" fillId="3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826028d590d430c" /><Relationship Type="http://schemas.openxmlformats.org/officeDocument/2006/relationships/theme" Target="/xl/theme/theme1.xml" Id="R5b4a899f742c4369" /><Relationship Type="http://schemas.openxmlformats.org/officeDocument/2006/relationships/sharedStrings" Target="/xl/sharedStrings.xml" Id="R2bd4e5235d114071" /><Relationship Type="http://schemas.openxmlformats.org/officeDocument/2006/relationships/worksheet" Target="/xl/worksheets/sheet1.xml" Id="R7b63a19d1f5f49c8" /><Relationship Type="http://schemas.openxmlformats.org/officeDocument/2006/relationships/worksheet" Target="/xl/worksheets/sheet2.xml" Id="R36d10c8df4974278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35e22bb5902548f8" /><Relationship Type="http://schemas.openxmlformats.org/officeDocument/2006/relationships/chart" Target="/xl/drawings/charts/chart2.xml" Id="Rd059b09fcb4d469d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Revenue by Category</a:t>
            </a:r>
          </a:p>
        </c:rich>
      </c:tx>
      <c:overlay val="0"/>
    </c:title>
    <c:plotArea>
      <c:barChart>
        <c:barDir val="col"/>
        <c:varyColors val="0"/>
        <c:ser>
          <c:idx val="0"/>
          <c:order val="0"/>
          <c:tx>
            <c:v>Revenue</c:v>
          </c:tx>
          <c:cat>
            <c:strRef>
              <c:f>'Analysis'!$A$10:$A$12</c:f>
              <c:strCache>
                <c:ptCount val="0"/>
              </c:strCache>
            </c:strRef>
          </c:cat>
          <c:val>
            <c:numRef>
              <c:f>'Analysis'!$B$10:$B$12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Monthly Sales Trend</a:t>
            </a:r>
          </a:p>
        </c:rich>
      </c:tx>
      <c:overlay val="0"/>
    </c:title>
    <c:plotArea>
      <c:lineChart>
        <c:grouping val="standard"/>
        <c:varyColors val="0"/>
        <c:ser>
          <c:idx val="0"/>
          <c:order val="0"/>
          <c:tx>
            <c:v>Revenue</c:v>
          </c:tx>
          <c:marker>
            <c:symbol val="none"/>
          </c:marker>
          <c:cat>
            <c:strRef>
              <c:f>'Analysis'!$D$10:$D$15</c:f>
              <c:strCache>
                <c:ptCount val="0"/>
              </c:strCache>
            </c:strRef>
          </c:cat>
          <c:val>
            <c:numRef>
              <c:f>'Analysis'!$E$10:$E$15</c:f>
              <c:numCache>
                <c:formatCode>General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6</xdr:col>
      <xdr:colOff>0</xdr:colOff>
      <xdr:row>2</xdr:row>
      <xdr:rowOff>0</xdr:rowOff>
    </xdr:from>
    <xdr:to>
      <xdr:col>14</xdr:col>
      <xdr:colOff>0</xdr:colOff>
      <xdr:row>18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35e22bb5902548f8"/>
        </a:graphicData>
      </a:graphic>
    </xdr:graphicFrame>
    <xdr:clientData/>
  </xdr:twoCellAnchor>
  <xdr:twoCellAnchor>
    <xdr:from>
      <xdr:col>6</xdr:col>
      <xdr:colOff>0</xdr:colOff>
      <xdr:row>19</xdr:row>
      <xdr:rowOff>0</xdr:rowOff>
    </xdr:from>
    <xdr:to>
      <xdr:col>14</xdr:col>
      <xdr:colOff>0</xdr:colOff>
      <xdr:row>35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d059b09fcb4d469d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1.xml" Id="Rf206d0490249419e" /></Relationships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9" hidden="0" customWidth="1"/>
    <x:col min="2" max="2" width="15" hidden="0" customWidth="1"/>
    <x:col min="3" max="3" width="19" hidden="0" customWidth="1"/>
    <x:col min="4" max="4" width="19" hidden="0" customWidth="1"/>
    <x:col min="5" max="5" width="20" hidden="0" customWidth="1"/>
    <x:col min="6" max="6" width="20" hidden="0" customWidth="1"/>
    <x:col min="7" max="7" width="20" hidden="0" customWidth="1"/>
  </x:cols>
  <x:sheetData>
    <x:row r="1" ht="28" customHeight="1">
      <x:c r="A1" s="3" t="str">
        <x:v>ID</x:v>
      </x:c>
      <x:c r="B1" s="3" t="str">
        <x:v>Date</x:v>
      </x:c>
      <x:c r="C1" s="3" t="str">
        <x:v>Item</x:v>
      </x:c>
      <x:c r="D1" s="3" t="str">
        <x:v>Category</x:v>
      </x:c>
      <x:c r="E1" s="3" t="str">
        <x:v>Quantity</x:v>
      </x:c>
      <x:c r="F1" s="3" t="str">
        <x:v>Unit Price (PHP)</x:v>
      </x:c>
      <x:c r="G1" s="3" t="str">
        <x:v>Total (PHP)</x:v>
      </x:c>
    </x:row>
    <x:row r="2">
      <x:c r="A2" t="n">
        <x:v>1</x:v>
      </x:c>
      <x:c r="B2" t="str">
        <x:v>2026-01-01</x:v>
      </x:c>
      <x:c r="C2" t="str">
        <x:v>Keyboard</x:v>
      </x:c>
      <x:c r="D2" t="str">
        <x:v>Accessories</x:v>
      </x:c>
      <x:c r="E2" t="n">
        <x:v>1</x:v>
      </x:c>
      <x:c r="F2" t="n">
        <x:v>550</x:v>
      </x:c>
      <x:c r="G2" t="n">
        <x:v>550</x:v>
      </x:c>
    </x:row>
    <x:row r="3">
      <x:c r="A3" t="n">
        <x:v>2</x:v>
      </x:c>
      <x:c r="B3" t="str">
        <x:v>2026-01-06</x:v>
      </x:c>
      <x:c r="C3" t="str">
        <x:v>Lamination</x:v>
      </x:c>
      <x:c r="D3" t="str">
        <x:v>Services</x:v>
      </x:c>
      <x:c r="E3" t="n">
        <x:v>2</x:v>
      </x:c>
      <x:c r="F3" t="n">
        <x:v>35</x:v>
      </x:c>
      <x:c r="G3" t="n">
        <x:v>70</x:v>
      </x:c>
    </x:row>
    <x:row r="4">
      <x:c r="A4" t="n">
        <x:v>3</x:v>
      </x:c>
      <x:c r="B4" t="str">
        <x:v>2026-01-08</x:v>
      </x:c>
      <x:c r="C4" t="str">
        <x:v>Lamination</x:v>
      </x:c>
      <x:c r="D4" t="str">
        <x:v>Services</x:v>
      </x:c>
      <x:c r="E4" t="n">
        <x:v>3</x:v>
      </x:c>
      <x:c r="F4" t="n">
        <x:v>35</x:v>
      </x:c>
      <x:c r="G4" t="n">
        <x:v>105</x:v>
      </x:c>
    </x:row>
    <x:row r="5">
      <x:c r="A5" t="n">
        <x:v>4</x:v>
      </x:c>
      <x:c r="B5" t="str">
        <x:v>2026-01-09</x:v>
      </x:c>
      <x:c r="C5" t="str">
        <x:v>Headset</x:v>
      </x:c>
      <x:c r="D5" t="str">
        <x:v>Accessories</x:v>
      </x:c>
      <x:c r="E5" t="n">
        <x:v>3</x:v>
      </x:c>
      <x:c r="F5" t="n">
        <x:v>690</x:v>
      </x:c>
      <x:c r="G5" t="n">
        <x:v>2070</x:v>
      </x:c>
    </x:row>
    <x:row r="6">
      <x:c r="A6" t="n">
        <x:v>5</x:v>
      </x:c>
      <x:c r="B6" t="str">
        <x:v>2026-01-10</x:v>
      </x:c>
      <x:c r="C6" t="str">
        <x:v>Photocopy</x:v>
      </x:c>
      <x:c r="D6" t="str">
        <x:v>Services</x:v>
      </x:c>
      <x:c r="E6" t="n">
        <x:v>3</x:v>
      </x:c>
      <x:c r="F6" t="n">
        <x:v>3</x:v>
      </x:c>
      <x:c r="G6" t="n">
        <x:v>9</x:v>
      </x:c>
    </x:row>
    <x:row r="7">
      <x:c r="A7" t="n">
        <x:v>6</x:v>
      </x:c>
      <x:c r="B7" t="str">
        <x:v>2026-01-10</x:v>
      </x:c>
      <x:c r="C7" t="str">
        <x:v>USB Drive</x:v>
      </x:c>
      <x:c r="D7" t="str">
        <x:v>Accessories</x:v>
      </x:c>
      <x:c r="E7" t="n">
        <x:v>1</x:v>
      </x:c>
      <x:c r="F7" t="n">
        <x:v>280</x:v>
      </x:c>
      <x:c r="G7" t="n">
        <x:v>280</x:v>
      </x:c>
    </x:row>
    <x:row r="8">
      <x:c r="A8" t="n">
        <x:v>7</x:v>
      </x:c>
      <x:c r="B8" t="str">
        <x:v>2026-01-10</x:v>
      </x:c>
      <x:c r="C8" t="str">
        <x:v>Computer Rental</x:v>
      </x:c>
      <x:c r="D8" t="str">
        <x:v>Rental</x:v>
      </x:c>
      <x:c r="E8" t="n">
        <x:v>2</x:v>
      </x:c>
      <x:c r="F8" t="n">
        <x:v>25</x:v>
      </x:c>
      <x:c r="G8" t="n">
        <x:v>50</x:v>
      </x:c>
    </x:row>
    <x:row r="9">
      <x:c r="A9" t="n">
        <x:v>8</x:v>
      </x:c>
      <x:c r="B9" t="str">
        <x:v>2026-01-10</x:v>
      </x:c>
      <x:c r="C9" t="str">
        <x:v>Photocopy</x:v>
      </x:c>
      <x:c r="D9" t="str">
        <x:v>Services</x:v>
      </x:c>
      <x:c r="E9" t="n">
        <x:v>2</x:v>
      </x:c>
      <x:c r="F9" t="n">
        <x:v>3</x:v>
      </x:c>
      <x:c r="G9" t="n">
        <x:v>6</x:v>
      </x:c>
    </x:row>
    <x:row r="10">
      <x:c r="A10" t="n">
        <x:v>9</x:v>
      </x:c>
      <x:c r="B10" t="str">
        <x:v>2026-01-15</x:v>
      </x:c>
      <x:c r="C10" t="str">
        <x:v>Typing</x:v>
      </x:c>
      <x:c r="D10" t="str">
        <x:v>Services</x:v>
      </x:c>
      <x:c r="E10" t="n">
        <x:v>1</x:v>
      </x:c>
      <x:c r="F10" t="n">
        <x:v>45</x:v>
      </x:c>
      <x:c r="G10" t="n">
        <x:v>45</x:v>
      </x:c>
    </x:row>
    <x:row r="11">
      <x:c r="A11" t="n">
        <x:v>10</x:v>
      </x:c>
      <x:c r="B11" t="str">
        <x:v>2026-01-15</x:v>
      </x:c>
      <x:c r="C11" t="str">
        <x:v>Keyboard</x:v>
      </x:c>
      <x:c r="D11" t="str">
        <x:v>Accessories</x:v>
      </x:c>
      <x:c r="E11" t="n">
        <x:v>2</x:v>
      </x:c>
      <x:c r="F11" t="n">
        <x:v>550</x:v>
      </x:c>
      <x:c r="G11" t="n">
        <x:v>1100</x:v>
      </x:c>
    </x:row>
    <x:row r="12">
      <x:c r="A12" t="n">
        <x:v>11</x:v>
      </x:c>
      <x:c r="B12" t="str">
        <x:v>2026-01-15</x:v>
      </x:c>
      <x:c r="C12" t="str">
        <x:v>Computer Rental</x:v>
      </x:c>
      <x:c r="D12" t="str">
        <x:v>Rental</x:v>
      </x:c>
      <x:c r="E12" t="n">
        <x:v>2</x:v>
      </x:c>
      <x:c r="F12" t="n">
        <x:v>25</x:v>
      </x:c>
      <x:c r="G12" t="n">
        <x:v>50</x:v>
      </x:c>
    </x:row>
    <x:row r="13">
      <x:c r="A13" t="n">
        <x:v>12</x:v>
      </x:c>
      <x:c r="B13" t="str">
        <x:v>2026-01-15</x:v>
      </x:c>
      <x:c r="C13" t="str">
        <x:v>Printing</x:v>
      </x:c>
      <x:c r="D13" t="str">
        <x:v>Services</x:v>
      </x:c>
      <x:c r="E13" t="n">
        <x:v>4</x:v>
      </x:c>
      <x:c r="F13" t="n">
        <x:v>8</x:v>
      </x:c>
      <x:c r="G13" t="n">
        <x:v>32</x:v>
      </x:c>
    </x:row>
    <x:row r="14">
      <x:c r="A14" t="n">
        <x:v>13</x:v>
      </x:c>
      <x:c r="B14" t="str">
        <x:v>2026-01-17</x:v>
      </x:c>
      <x:c r="C14" t="str">
        <x:v>Computer Rental</x:v>
      </x:c>
      <x:c r="D14" t="str">
        <x:v>Rental</x:v>
      </x:c>
      <x:c r="E14" t="n">
        <x:v>2</x:v>
      </x:c>
      <x:c r="F14" t="n">
        <x:v>25</x:v>
      </x:c>
      <x:c r="G14" t="n">
        <x:v>50</x:v>
      </x:c>
    </x:row>
    <x:row r="15">
      <x:c r="A15" t="n">
        <x:v>14</x:v>
      </x:c>
      <x:c r="B15" t="str">
        <x:v>2026-01-17</x:v>
      </x:c>
      <x:c r="C15" t="str">
        <x:v>Lamination</x:v>
      </x:c>
      <x:c r="D15" t="str">
        <x:v>Services</x:v>
      </x:c>
      <x:c r="E15" t="n">
        <x:v>6</x:v>
      </x:c>
      <x:c r="F15" t="n">
        <x:v>35</x:v>
      </x:c>
      <x:c r="G15" t="n">
        <x:v>210</x:v>
      </x:c>
    </x:row>
    <x:row r="16">
      <x:c r="A16" t="n">
        <x:v>15</x:v>
      </x:c>
      <x:c r="B16" t="str">
        <x:v>2026-01-21</x:v>
      </x:c>
      <x:c r="C16" t="str">
        <x:v>Lamination</x:v>
      </x:c>
      <x:c r="D16" t="str">
        <x:v>Services</x:v>
      </x:c>
      <x:c r="E16" t="n">
        <x:v>1</x:v>
      </x:c>
      <x:c r="F16" t="n">
        <x:v>35</x:v>
      </x:c>
      <x:c r="G16" t="n">
        <x:v>35</x:v>
      </x:c>
    </x:row>
    <x:row r="17">
      <x:c r="A17" t="n">
        <x:v>16</x:v>
      </x:c>
      <x:c r="B17" t="str">
        <x:v>2026-01-21</x:v>
      </x:c>
      <x:c r="C17" t="str">
        <x:v>Headset</x:v>
      </x:c>
      <x:c r="D17" t="str">
        <x:v>Accessories</x:v>
      </x:c>
      <x:c r="E17" t="n">
        <x:v>2</x:v>
      </x:c>
      <x:c r="F17" t="n">
        <x:v>690</x:v>
      </x:c>
      <x:c r="G17" t="n">
        <x:v>1380</x:v>
      </x:c>
    </x:row>
    <x:row r="18">
      <x:c r="A18" t="n">
        <x:v>17</x:v>
      </x:c>
      <x:c r="B18" t="str">
        <x:v>2026-01-22</x:v>
      </x:c>
      <x:c r="C18" t="str">
        <x:v>Headset</x:v>
      </x:c>
      <x:c r="D18" t="str">
        <x:v>Accessories</x:v>
      </x:c>
      <x:c r="E18" t="n">
        <x:v>1</x:v>
      </x:c>
      <x:c r="F18" t="n">
        <x:v>690</x:v>
      </x:c>
      <x:c r="G18" t="n">
        <x:v>690</x:v>
      </x:c>
    </x:row>
    <x:row r="19">
      <x:c r="A19" t="n">
        <x:v>18</x:v>
      </x:c>
      <x:c r="B19" t="str">
        <x:v>2026-01-23</x:v>
      </x:c>
      <x:c r="C19" t="str">
        <x:v>Typing</x:v>
      </x:c>
      <x:c r="D19" t="str">
        <x:v>Services</x:v>
      </x:c>
      <x:c r="E19" t="n">
        <x:v>1</x:v>
      </x:c>
      <x:c r="F19" t="n">
        <x:v>45</x:v>
      </x:c>
      <x:c r="G19" t="n">
        <x:v>45</x:v>
      </x:c>
    </x:row>
    <x:row r="20">
      <x:c r="A20" t="n">
        <x:v>19</x:v>
      </x:c>
      <x:c r="B20" t="str">
        <x:v>2026-01-24</x:v>
      </x:c>
      <x:c r="C20" t="str">
        <x:v>Mouse</x:v>
      </x:c>
      <x:c r="D20" t="str">
        <x:v>Accessories</x:v>
      </x:c>
      <x:c r="E20" t="n">
        <x:v>1</x:v>
      </x:c>
      <x:c r="F20" t="n">
        <x:v>320</x:v>
      </x:c>
      <x:c r="G20" t="n">
        <x:v>320</x:v>
      </x:c>
    </x:row>
    <x:row r="21">
      <x:c r="A21" t="n">
        <x:v>20</x:v>
      </x:c>
      <x:c r="B21" t="str">
        <x:v>2026-01-24</x:v>
      </x:c>
      <x:c r="C21" t="str">
        <x:v>Photocopy</x:v>
      </x:c>
      <x:c r="D21" t="str">
        <x:v>Services</x:v>
      </x:c>
      <x:c r="E21" t="n">
        <x:v>5</x:v>
      </x:c>
      <x:c r="F21" t="n">
        <x:v>3</x:v>
      </x:c>
      <x:c r="G21" t="n">
        <x:v>15</x:v>
      </x:c>
    </x:row>
    <x:row r="22">
      <x:c r="A22" t="n">
        <x:v>21</x:v>
      </x:c>
      <x:c r="B22" t="str">
        <x:v>2026-01-24</x:v>
      </x:c>
      <x:c r="C22" t="str">
        <x:v>Lamination</x:v>
      </x:c>
      <x:c r="D22" t="str">
        <x:v>Services</x:v>
      </x:c>
      <x:c r="E22" t="n">
        <x:v>2</x:v>
      </x:c>
      <x:c r="F22" t="n">
        <x:v>35</x:v>
      </x:c>
      <x:c r="G22" t="n">
        <x:v>70</x:v>
      </x:c>
    </x:row>
    <x:row r="23">
      <x:c r="A23" t="n">
        <x:v>22</x:v>
      </x:c>
      <x:c r="B23" t="str">
        <x:v>2026-01-24</x:v>
      </x:c>
      <x:c r="C23" t="str">
        <x:v>Keyboard</x:v>
      </x:c>
      <x:c r="D23" t="str">
        <x:v>Accessories</x:v>
      </x:c>
      <x:c r="E23" t="n">
        <x:v>2</x:v>
      </x:c>
      <x:c r="F23" t="n">
        <x:v>550</x:v>
      </x:c>
      <x:c r="G23" t="n">
        <x:v>1100</x:v>
      </x:c>
    </x:row>
    <x:row r="24">
      <x:c r="A24" t="n">
        <x:v>23</x:v>
      </x:c>
      <x:c r="B24" t="str">
        <x:v>2026-01-26</x:v>
      </x:c>
      <x:c r="C24" t="str">
        <x:v>Keyboard</x:v>
      </x:c>
      <x:c r="D24" t="str">
        <x:v>Accessories</x:v>
      </x:c>
      <x:c r="E24" t="n">
        <x:v>1</x:v>
      </x:c>
      <x:c r="F24" t="n">
        <x:v>550</x:v>
      </x:c>
      <x:c r="G24" t="n">
        <x:v>550</x:v>
      </x:c>
    </x:row>
    <x:row r="25">
      <x:c r="A25" t="n">
        <x:v>24</x:v>
      </x:c>
      <x:c r="B25" t="str">
        <x:v>2026-01-27</x:v>
      </x:c>
      <x:c r="C25" t="str">
        <x:v>Keyboard</x:v>
      </x:c>
      <x:c r="D25" t="str">
        <x:v>Accessories</x:v>
      </x:c>
      <x:c r="E25" t="n">
        <x:v>3</x:v>
      </x:c>
      <x:c r="F25" t="n">
        <x:v>550</x:v>
      </x:c>
      <x:c r="G25" t="n">
        <x:v>1650</x:v>
      </x:c>
    </x:row>
    <x:row r="26">
      <x:c r="A26" t="n">
        <x:v>25</x:v>
      </x:c>
      <x:c r="B26" t="str">
        <x:v>2026-01-28</x:v>
      </x:c>
      <x:c r="C26" t="str">
        <x:v>Photocopy</x:v>
      </x:c>
      <x:c r="D26" t="str">
        <x:v>Services</x:v>
      </x:c>
      <x:c r="E26" t="n">
        <x:v>6</x:v>
      </x:c>
      <x:c r="F26" t="n">
        <x:v>3</x:v>
      </x:c>
      <x:c r="G26" t="n">
        <x:v>18</x:v>
      </x:c>
    </x:row>
    <x:row r="27">
      <x:c r="A27" t="n">
        <x:v>26</x:v>
      </x:c>
      <x:c r="B27" t="str">
        <x:v>2026-01-28</x:v>
      </x:c>
      <x:c r="C27" t="str">
        <x:v>Photocopy</x:v>
      </x:c>
      <x:c r="D27" t="str">
        <x:v>Services</x:v>
      </x:c>
      <x:c r="E27" t="n">
        <x:v>6</x:v>
      </x:c>
      <x:c r="F27" t="n">
        <x:v>3</x:v>
      </x:c>
      <x:c r="G27" t="n">
        <x:v>18</x:v>
      </x:c>
    </x:row>
    <x:row r="28">
      <x:c r="A28" t="n">
        <x:v>27</x:v>
      </x:c>
      <x:c r="B28" t="str">
        <x:v>2026-01-28</x:v>
      </x:c>
      <x:c r="C28" t="str">
        <x:v>Printing</x:v>
      </x:c>
      <x:c r="D28" t="str">
        <x:v>Services</x:v>
      </x:c>
      <x:c r="E28" t="n">
        <x:v>6</x:v>
      </x:c>
      <x:c r="F28" t="n">
        <x:v>8</x:v>
      </x:c>
      <x:c r="G28" t="n">
        <x:v>48</x:v>
      </x:c>
    </x:row>
    <x:row r="29">
      <x:c r="A29" t="n">
        <x:v>28</x:v>
      </x:c>
      <x:c r="B29" t="str">
        <x:v>2026-01-29</x:v>
      </x:c>
      <x:c r="C29" t="str">
        <x:v>USB Drive</x:v>
      </x:c>
      <x:c r="D29" t="str">
        <x:v>Accessories</x:v>
      </x:c>
      <x:c r="E29" t="n">
        <x:v>2</x:v>
      </x:c>
      <x:c r="F29" t="n">
        <x:v>280</x:v>
      </x:c>
      <x:c r="G29" t="n">
        <x:v>560</x:v>
      </x:c>
    </x:row>
    <x:row r="30">
      <x:c r="A30" t="n">
        <x:v>29</x:v>
      </x:c>
      <x:c r="B30" t="str">
        <x:v>2026-01-29</x:v>
      </x:c>
      <x:c r="C30" t="str">
        <x:v>Photocopy</x:v>
      </x:c>
      <x:c r="D30" t="str">
        <x:v>Services</x:v>
      </x:c>
      <x:c r="E30" t="n">
        <x:v>1</x:v>
      </x:c>
      <x:c r="F30" t="n">
        <x:v>3</x:v>
      </x:c>
      <x:c r="G30" t="n">
        <x:v>3</x:v>
      </x:c>
    </x:row>
    <x:row r="31">
      <x:c r="A31" t="n">
        <x:v>30</x:v>
      </x:c>
      <x:c r="B31" t="str">
        <x:v>2026-01-31</x:v>
      </x:c>
      <x:c r="C31" t="str">
        <x:v>Lamination</x:v>
      </x:c>
      <x:c r="D31" t="str">
        <x:v>Services</x:v>
      </x:c>
      <x:c r="E31" t="n">
        <x:v>1</x:v>
      </x:c>
      <x:c r="F31" t="n">
        <x:v>35</x:v>
      </x:c>
      <x:c r="G31" t="n">
        <x:v>35</x:v>
      </x:c>
    </x:row>
    <x:row r="32">
      <x:c r="A32" t="n">
        <x:v>31</x:v>
      </x:c>
      <x:c r="B32" t="str">
        <x:v>2026-02-02</x:v>
      </x:c>
      <x:c r="C32" t="str">
        <x:v>Photocopy</x:v>
      </x:c>
      <x:c r="D32" t="str">
        <x:v>Services</x:v>
      </x:c>
      <x:c r="E32" t="n">
        <x:v>5</x:v>
      </x:c>
      <x:c r="F32" t="n">
        <x:v>3</x:v>
      </x:c>
      <x:c r="G32" t="n">
        <x:v>15</x:v>
      </x:c>
    </x:row>
    <x:row r="33">
      <x:c r="A33" t="n">
        <x:v>32</x:v>
      </x:c>
      <x:c r="B33" t="str">
        <x:v>2026-02-03</x:v>
      </x:c>
      <x:c r="C33" t="str">
        <x:v>Typing</x:v>
      </x:c>
      <x:c r="D33" t="str">
        <x:v>Services</x:v>
      </x:c>
      <x:c r="E33" t="n">
        <x:v>3</x:v>
      </x:c>
      <x:c r="F33" t="n">
        <x:v>45</x:v>
      </x:c>
      <x:c r="G33" t="n">
        <x:v>135</x:v>
      </x:c>
    </x:row>
    <x:row r="34">
      <x:c r="A34" t="n">
        <x:v>33</x:v>
      </x:c>
      <x:c r="B34" t="str">
        <x:v>2026-02-03</x:v>
      </x:c>
      <x:c r="C34" t="str">
        <x:v>Lamination</x:v>
      </x:c>
      <x:c r="D34" t="str">
        <x:v>Services</x:v>
      </x:c>
      <x:c r="E34" t="n">
        <x:v>2</x:v>
      </x:c>
      <x:c r="F34" t="n">
        <x:v>35</x:v>
      </x:c>
      <x:c r="G34" t="n">
        <x:v>70</x:v>
      </x:c>
    </x:row>
    <x:row r="35">
      <x:c r="A35" t="n">
        <x:v>34</x:v>
      </x:c>
      <x:c r="B35" t="str">
        <x:v>2026-02-04</x:v>
      </x:c>
      <x:c r="C35" t="str">
        <x:v>Lamination</x:v>
      </x:c>
      <x:c r="D35" t="str">
        <x:v>Services</x:v>
      </x:c>
      <x:c r="E35" t="n">
        <x:v>6</x:v>
      </x:c>
      <x:c r="F35" t="n">
        <x:v>35</x:v>
      </x:c>
      <x:c r="G35" t="n">
        <x:v>210</x:v>
      </x:c>
    </x:row>
    <x:row r="36">
      <x:c r="A36" t="n">
        <x:v>35</x:v>
      </x:c>
      <x:c r="B36" t="str">
        <x:v>2026-02-05</x:v>
      </x:c>
      <x:c r="C36" t="str">
        <x:v>Mouse</x:v>
      </x:c>
      <x:c r="D36" t="str">
        <x:v>Accessories</x:v>
      </x:c>
      <x:c r="E36" t="n">
        <x:v>3</x:v>
      </x:c>
      <x:c r="F36" t="n">
        <x:v>320</x:v>
      </x:c>
      <x:c r="G36" t="n">
        <x:v>960</x:v>
      </x:c>
    </x:row>
    <x:row r="37">
      <x:c r="A37" t="n">
        <x:v>36</x:v>
      </x:c>
      <x:c r="B37" t="str">
        <x:v>2026-02-06</x:v>
      </x:c>
      <x:c r="C37" t="str">
        <x:v>Keyboard</x:v>
      </x:c>
      <x:c r="D37" t="str">
        <x:v>Accessories</x:v>
      </x:c>
      <x:c r="E37" t="n">
        <x:v>1</x:v>
      </x:c>
      <x:c r="F37" t="n">
        <x:v>550</x:v>
      </x:c>
      <x:c r="G37" t="n">
        <x:v>550</x:v>
      </x:c>
    </x:row>
    <x:row r="38">
      <x:c r="A38" t="n">
        <x:v>37</x:v>
      </x:c>
      <x:c r="B38" t="str">
        <x:v>2026-02-06</x:v>
      </x:c>
      <x:c r="C38" t="str">
        <x:v>Lamination</x:v>
      </x:c>
      <x:c r="D38" t="str">
        <x:v>Services</x:v>
      </x:c>
      <x:c r="E38" t="n">
        <x:v>2</x:v>
      </x:c>
      <x:c r="F38" t="n">
        <x:v>35</x:v>
      </x:c>
      <x:c r="G38" t="n">
        <x:v>70</x:v>
      </x:c>
    </x:row>
    <x:row r="39">
      <x:c r="A39" t="n">
        <x:v>38</x:v>
      </x:c>
      <x:c r="B39" t="str">
        <x:v>2026-02-07</x:v>
      </x:c>
      <x:c r="C39" t="str">
        <x:v>Photocopy</x:v>
      </x:c>
      <x:c r="D39" t="str">
        <x:v>Services</x:v>
      </x:c>
      <x:c r="E39" t="n">
        <x:v>2</x:v>
      </x:c>
      <x:c r="F39" t="n">
        <x:v>3</x:v>
      </x:c>
      <x:c r="G39" t="n">
        <x:v>6</x:v>
      </x:c>
    </x:row>
    <x:row r="40">
      <x:c r="A40" t="n">
        <x:v>39</x:v>
      </x:c>
      <x:c r="B40" t="str">
        <x:v>2026-02-07</x:v>
      </x:c>
      <x:c r="C40" t="str">
        <x:v>USB Drive</x:v>
      </x:c>
      <x:c r="D40" t="str">
        <x:v>Accessories</x:v>
      </x:c>
      <x:c r="E40" t="n">
        <x:v>1</x:v>
      </x:c>
      <x:c r="F40" t="n">
        <x:v>280</x:v>
      </x:c>
      <x:c r="G40" t="n">
        <x:v>280</x:v>
      </x:c>
    </x:row>
    <x:row r="41">
      <x:c r="A41" t="n">
        <x:v>40</x:v>
      </x:c>
      <x:c r="B41" t="str">
        <x:v>2026-02-07</x:v>
      </x:c>
      <x:c r="C41" t="str">
        <x:v>Printing</x:v>
      </x:c>
      <x:c r="D41" t="str">
        <x:v>Services</x:v>
      </x:c>
      <x:c r="E41" t="n">
        <x:v>3</x:v>
      </x:c>
      <x:c r="F41" t="n">
        <x:v>8</x:v>
      </x:c>
      <x:c r="G41" t="n">
        <x:v>24</x:v>
      </x:c>
    </x:row>
    <x:row r="42">
      <x:c r="A42" t="n">
        <x:v>41</x:v>
      </x:c>
      <x:c r="B42" t="str">
        <x:v>2026-02-09</x:v>
      </x:c>
      <x:c r="C42" t="str">
        <x:v>Photocopy</x:v>
      </x:c>
      <x:c r="D42" t="str">
        <x:v>Services</x:v>
      </x:c>
      <x:c r="E42" t="n">
        <x:v>5</x:v>
      </x:c>
      <x:c r="F42" t="n">
        <x:v>3</x:v>
      </x:c>
      <x:c r="G42" t="n">
        <x:v>15</x:v>
      </x:c>
    </x:row>
    <x:row r="43">
      <x:c r="A43" t="n">
        <x:v>42</x:v>
      </x:c>
      <x:c r="B43" t="str">
        <x:v>2026-02-11</x:v>
      </x:c>
      <x:c r="C43" t="str">
        <x:v>Keyboard</x:v>
      </x:c>
      <x:c r="D43" t="str">
        <x:v>Accessories</x:v>
      </x:c>
      <x:c r="E43" t="n">
        <x:v>1</x:v>
      </x:c>
      <x:c r="F43" t="n">
        <x:v>550</x:v>
      </x:c>
      <x:c r="G43" t="n">
        <x:v>550</x:v>
      </x:c>
    </x:row>
    <x:row r="44">
      <x:c r="A44" t="n">
        <x:v>43</x:v>
      </x:c>
      <x:c r="B44" t="str">
        <x:v>2026-02-11</x:v>
      </x:c>
      <x:c r="C44" t="str">
        <x:v>Keyboard</x:v>
      </x:c>
      <x:c r="D44" t="str">
        <x:v>Accessories</x:v>
      </x:c>
      <x:c r="E44" t="n">
        <x:v>2</x:v>
      </x:c>
      <x:c r="F44" t="n">
        <x:v>550</x:v>
      </x:c>
      <x:c r="G44" t="n">
        <x:v>1100</x:v>
      </x:c>
    </x:row>
    <x:row r="45">
      <x:c r="A45" t="n">
        <x:v>44</x:v>
      </x:c>
      <x:c r="B45" t="str">
        <x:v>2026-02-12</x:v>
      </x:c>
      <x:c r="C45" t="str">
        <x:v>Headset</x:v>
      </x:c>
      <x:c r="D45" t="str">
        <x:v>Accessories</x:v>
      </x:c>
      <x:c r="E45" t="n">
        <x:v>1</x:v>
      </x:c>
      <x:c r="F45" t="n">
        <x:v>690</x:v>
      </x:c>
      <x:c r="G45" t="n">
        <x:v>690</x:v>
      </x:c>
    </x:row>
    <x:row r="46">
      <x:c r="A46" t="n">
        <x:v>45</x:v>
      </x:c>
      <x:c r="B46" t="str">
        <x:v>2026-02-12</x:v>
      </x:c>
      <x:c r="C46" t="str">
        <x:v>Printing</x:v>
      </x:c>
      <x:c r="D46" t="str">
        <x:v>Services</x:v>
      </x:c>
      <x:c r="E46" t="n">
        <x:v>4</x:v>
      </x:c>
      <x:c r="F46" t="n">
        <x:v>8</x:v>
      </x:c>
      <x:c r="G46" t="n">
        <x:v>32</x:v>
      </x:c>
    </x:row>
    <x:row r="47">
      <x:c r="A47" t="n">
        <x:v>46</x:v>
      </x:c>
      <x:c r="B47" t="str">
        <x:v>2026-02-13</x:v>
      </x:c>
      <x:c r="C47" t="str">
        <x:v>Lamination</x:v>
      </x:c>
      <x:c r="D47" t="str">
        <x:v>Services</x:v>
      </x:c>
      <x:c r="E47" t="n">
        <x:v>5</x:v>
      </x:c>
      <x:c r="F47" t="n">
        <x:v>35</x:v>
      </x:c>
      <x:c r="G47" t="n">
        <x:v>175</x:v>
      </x:c>
    </x:row>
    <x:row r="48">
      <x:c r="A48" t="n">
        <x:v>47</x:v>
      </x:c>
      <x:c r="B48" t="str">
        <x:v>2026-02-13</x:v>
      </x:c>
      <x:c r="C48" t="str">
        <x:v>Computer Rental</x:v>
      </x:c>
      <x:c r="D48" t="str">
        <x:v>Rental</x:v>
      </x:c>
      <x:c r="E48" t="n">
        <x:v>3</x:v>
      </x:c>
      <x:c r="F48" t="n">
        <x:v>25</x:v>
      </x:c>
      <x:c r="G48" t="n">
        <x:v>75</x:v>
      </x:c>
    </x:row>
    <x:row r="49">
      <x:c r="A49" t="n">
        <x:v>48</x:v>
      </x:c>
      <x:c r="B49" t="str">
        <x:v>2026-02-14</x:v>
      </x:c>
      <x:c r="C49" t="str">
        <x:v>Typing</x:v>
      </x:c>
      <x:c r="D49" t="str">
        <x:v>Services</x:v>
      </x:c>
      <x:c r="E49" t="n">
        <x:v>6</x:v>
      </x:c>
      <x:c r="F49" t="n">
        <x:v>45</x:v>
      </x:c>
      <x:c r="G49" t="n">
        <x:v>270</x:v>
      </x:c>
    </x:row>
    <x:row r="50">
      <x:c r="A50" t="n">
        <x:v>49</x:v>
      </x:c>
      <x:c r="B50" t="str">
        <x:v>2026-02-14</x:v>
      </x:c>
      <x:c r="C50" t="str">
        <x:v>Keyboard</x:v>
      </x:c>
      <x:c r="D50" t="str">
        <x:v>Accessories</x:v>
      </x:c>
      <x:c r="E50" t="n">
        <x:v>2</x:v>
      </x:c>
      <x:c r="F50" t="n">
        <x:v>550</x:v>
      </x:c>
      <x:c r="G50" t="n">
        <x:v>1100</x:v>
      </x:c>
    </x:row>
    <x:row r="51">
      <x:c r="A51" t="n">
        <x:v>50</x:v>
      </x:c>
      <x:c r="B51" t="str">
        <x:v>2026-02-15</x:v>
      </x:c>
      <x:c r="C51" t="str">
        <x:v>Computer Rental</x:v>
      </x:c>
      <x:c r="D51" t="str">
        <x:v>Rental</x:v>
      </x:c>
      <x:c r="E51" t="n">
        <x:v>2</x:v>
      </x:c>
      <x:c r="F51" t="n">
        <x:v>25</x:v>
      </x:c>
      <x:c r="G51" t="n">
        <x:v>50</x:v>
      </x:c>
    </x:row>
    <x:row r="52">
      <x:c r="A52" t="n">
        <x:v>51</x:v>
      </x:c>
      <x:c r="B52" t="str">
        <x:v>2026-02-16</x:v>
      </x:c>
      <x:c r="C52" t="str">
        <x:v>Headset</x:v>
      </x:c>
      <x:c r="D52" t="str">
        <x:v>Accessories</x:v>
      </x:c>
      <x:c r="E52" t="n">
        <x:v>1</x:v>
      </x:c>
      <x:c r="F52" t="n">
        <x:v>690</x:v>
      </x:c>
      <x:c r="G52" t="n">
        <x:v>690</x:v>
      </x:c>
    </x:row>
    <x:row r="53">
      <x:c r="A53" t="n">
        <x:v>52</x:v>
      </x:c>
      <x:c r="B53" t="str">
        <x:v>2026-02-21</x:v>
      </x:c>
      <x:c r="C53" t="str">
        <x:v>Mouse</x:v>
      </x:c>
      <x:c r="D53" t="str">
        <x:v>Accessories</x:v>
      </x:c>
      <x:c r="E53" t="n">
        <x:v>3</x:v>
      </x:c>
      <x:c r="F53" t="n">
        <x:v>320</x:v>
      </x:c>
      <x:c r="G53" t="n">
        <x:v>960</x:v>
      </x:c>
    </x:row>
    <x:row r="54">
      <x:c r="A54" t="n">
        <x:v>53</x:v>
      </x:c>
      <x:c r="B54" t="str">
        <x:v>2026-02-22</x:v>
      </x:c>
      <x:c r="C54" t="str">
        <x:v>Keyboard</x:v>
      </x:c>
      <x:c r="D54" t="str">
        <x:v>Accessories</x:v>
      </x:c>
      <x:c r="E54" t="n">
        <x:v>2</x:v>
      </x:c>
      <x:c r="F54" t="n">
        <x:v>550</x:v>
      </x:c>
      <x:c r="G54" t="n">
        <x:v>1100</x:v>
      </x:c>
    </x:row>
    <x:row r="55">
      <x:c r="A55" t="n">
        <x:v>54</x:v>
      </x:c>
      <x:c r="B55" t="str">
        <x:v>2026-02-22</x:v>
      </x:c>
      <x:c r="C55" t="str">
        <x:v>Computer Rental</x:v>
      </x:c>
      <x:c r="D55" t="str">
        <x:v>Rental</x:v>
      </x:c>
      <x:c r="E55" t="n">
        <x:v>2</x:v>
      </x:c>
      <x:c r="F55" t="n">
        <x:v>25</x:v>
      </x:c>
      <x:c r="G55" t="n">
        <x:v>50</x:v>
      </x:c>
    </x:row>
    <x:row r="56">
      <x:c r="A56" t="n">
        <x:v>55</x:v>
      </x:c>
      <x:c r="B56" t="str">
        <x:v>2026-02-22</x:v>
      </x:c>
      <x:c r="C56" t="str">
        <x:v>Headset</x:v>
      </x:c>
      <x:c r="D56" t="str">
        <x:v>Accessories</x:v>
      </x:c>
      <x:c r="E56" t="n">
        <x:v>3</x:v>
      </x:c>
      <x:c r="F56" t="n">
        <x:v>690</x:v>
      </x:c>
      <x:c r="G56" t="n">
        <x:v>2070</x:v>
      </x:c>
    </x:row>
    <x:row r="57">
      <x:c r="A57" t="n">
        <x:v>56</x:v>
      </x:c>
      <x:c r="B57" t="str">
        <x:v>2026-02-23</x:v>
      </x:c>
      <x:c r="C57" t="str">
        <x:v>Computer Rental</x:v>
      </x:c>
      <x:c r="D57" t="str">
        <x:v>Rental</x:v>
      </x:c>
      <x:c r="E57" t="n">
        <x:v>1</x:v>
      </x:c>
      <x:c r="F57" t="n">
        <x:v>25</x:v>
      </x:c>
      <x:c r="G57" t="n">
        <x:v>25</x:v>
      </x:c>
    </x:row>
    <x:row r="58">
      <x:c r="A58" t="n">
        <x:v>57</x:v>
      </x:c>
      <x:c r="B58" t="str">
        <x:v>2026-02-23</x:v>
      </x:c>
      <x:c r="C58" t="str">
        <x:v>Mouse</x:v>
      </x:c>
      <x:c r="D58" t="str">
        <x:v>Accessories</x:v>
      </x:c>
      <x:c r="E58" t="n">
        <x:v>2</x:v>
      </x:c>
      <x:c r="F58" t="n">
        <x:v>320</x:v>
      </x:c>
      <x:c r="G58" t="n">
        <x:v>640</x:v>
      </x:c>
    </x:row>
    <x:row r="59">
      <x:c r="A59" t="n">
        <x:v>58</x:v>
      </x:c>
      <x:c r="B59" t="str">
        <x:v>2026-02-23</x:v>
      </x:c>
      <x:c r="C59" t="str">
        <x:v>USB Drive</x:v>
      </x:c>
      <x:c r="D59" t="str">
        <x:v>Accessories</x:v>
      </x:c>
      <x:c r="E59" t="n">
        <x:v>1</x:v>
      </x:c>
      <x:c r="F59" t="n">
        <x:v>280</x:v>
      </x:c>
      <x:c r="G59" t="n">
        <x:v>280</x:v>
      </x:c>
    </x:row>
    <x:row r="60">
      <x:c r="A60" t="n">
        <x:v>59</x:v>
      </x:c>
      <x:c r="B60" t="str">
        <x:v>2026-02-25</x:v>
      </x:c>
      <x:c r="C60" t="str">
        <x:v>USB Drive</x:v>
      </x:c>
      <x:c r="D60" t="str">
        <x:v>Accessories</x:v>
      </x:c>
      <x:c r="E60" t="n">
        <x:v>1</x:v>
      </x:c>
      <x:c r="F60" t="n">
        <x:v>280</x:v>
      </x:c>
      <x:c r="G60" t="n">
        <x:v>280</x:v>
      </x:c>
    </x:row>
    <x:row r="61">
      <x:c r="A61" t="n">
        <x:v>60</x:v>
      </x:c>
      <x:c r="B61" t="str">
        <x:v>2026-02-25</x:v>
      </x:c>
      <x:c r="C61" t="str">
        <x:v>USB Drive</x:v>
      </x:c>
      <x:c r="D61" t="str">
        <x:v>Accessories</x:v>
      </x:c>
      <x:c r="E61" t="n">
        <x:v>1</x:v>
      </x:c>
      <x:c r="F61" t="n">
        <x:v>280</x:v>
      </x:c>
      <x:c r="G61" t="n">
        <x:v>280</x:v>
      </x:c>
    </x:row>
    <x:row r="62">
      <x:c r="A62" t="n">
        <x:v>61</x:v>
      </x:c>
      <x:c r="B62" t="str">
        <x:v>2026-02-25</x:v>
      </x:c>
      <x:c r="C62" t="str">
        <x:v>Lamination</x:v>
      </x:c>
      <x:c r="D62" t="str">
        <x:v>Services</x:v>
      </x:c>
      <x:c r="E62" t="n">
        <x:v>5</x:v>
      </x:c>
      <x:c r="F62" t="n">
        <x:v>35</x:v>
      </x:c>
      <x:c r="G62" t="n">
        <x:v>175</x:v>
      </x:c>
    </x:row>
    <x:row r="63">
      <x:c r="A63" t="n">
        <x:v>62</x:v>
      </x:c>
      <x:c r="B63" t="str">
        <x:v>2026-02-26</x:v>
      </x:c>
      <x:c r="C63" t="str">
        <x:v>Computer Rental</x:v>
      </x:c>
      <x:c r="D63" t="str">
        <x:v>Rental</x:v>
      </x:c>
      <x:c r="E63" t="n">
        <x:v>3</x:v>
      </x:c>
      <x:c r="F63" t="n">
        <x:v>25</x:v>
      </x:c>
      <x:c r="G63" t="n">
        <x:v>75</x:v>
      </x:c>
    </x:row>
    <x:row r="64">
      <x:c r="A64" t="n">
        <x:v>63</x:v>
      </x:c>
      <x:c r="B64" t="str">
        <x:v>2026-03-02</x:v>
      </x:c>
      <x:c r="C64" t="str">
        <x:v>Computer Rental</x:v>
      </x:c>
      <x:c r="D64" t="str">
        <x:v>Rental</x:v>
      </x:c>
      <x:c r="E64" t="n">
        <x:v>2</x:v>
      </x:c>
      <x:c r="F64" t="n">
        <x:v>25</x:v>
      </x:c>
      <x:c r="G64" t="n">
        <x:v>50</x:v>
      </x:c>
    </x:row>
    <x:row r="65">
      <x:c r="A65" t="n">
        <x:v>64</x:v>
      </x:c>
      <x:c r="B65" t="str">
        <x:v>2026-03-04</x:v>
      </x:c>
      <x:c r="C65" t="str">
        <x:v>Mouse</x:v>
      </x:c>
      <x:c r="D65" t="str">
        <x:v>Accessories</x:v>
      </x:c>
      <x:c r="E65" t="n">
        <x:v>1</x:v>
      </x:c>
      <x:c r="F65" t="n">
        <x:v>320</x:v>
      </x:c>
      <x:c r="G65" t="n">
        <x:v>320</x:v>
      </x:c>
    </x:row>
    <x:row r="66">
      <x:c r="A66" t="n">
        <x:v>65</x:v>
      </x:c>
      <x:c r="B66" t="str">
        <x:v>2026-03-05</x:v>
      </x:c>
      <x:c r="C66" t="str">
        <x:v>Headset</x:v>
      </x:c>
      <x:c r="D66" t="str">
        <x:v>Accessories</x:v>
      </x:c>
      <x:c r="E66" t="n">
        <x:v>1</x:v>
      </x:c>
      <x:c r="F66" t="n">
        <x:v>690</x:v>
      </x:c>
      <x:c r="G66" t="n">
        <x:v>690</x:v>
      </x:c>
    </x:row>
    <x:row r="67">
      <x:c r="A67" t="n">
        <x:v>66</x:v>
      </x:c>
      <x:c r="B67" t="str">
        <x:v>2026-03-05</x:v>
      </x:c>
      <x:c r="C67" t="str">
        <x:v>Lamination</x:v>
      </x:c>
      <x:c r="D67" t="str">
        <x:v>Services</x:v>
      </x:c>
      <x:c r="E67" t="n">
        <x:v>3</x:v>
      </x:c>
      <x:c r="F67" t="n">
        <x:v>35</x:v>
      </x:c>
      <x:c r="G67" t="n">
        <x:v>105</x:v>
      </x:c>
    </x:row>
    <x:row r="68">
      <x:c r="A68" t="n">
        <x:v>67</x:v>
      </x:c>
      <x:c r="B68" t="str">
        <x:v>2026-03-06</x:v>
      </x:c>
      <x:c r="C68" t="str">
        <x:v>Photocopy</x:v>
      </x:c>
      <x:c r="D68" t="str">
        <x:v>Services</x:v>
      </x:c>
      <x:c r="E68" t="n">
        <x:v>4</x:v>
      </x:c>
      <x:c r="F68" t="n">
        <x:v>3</x:v>
      </x:c>
      <x:c r="G68" t="n">
        <x:v>12</x:v>
      </x:c>
    </x:row>
    <x:row r="69">
      <x:c r="A69" t="n">
        <x:v>68</x:v>
      </x:c>
      <x:c r="B69" t="str">
        <x:v>2026-03-07</x:v>
      </x:c>
      <x:c r="C69" t="str">
        <x:v>Computer Rental</x:v>
      </x:c>
      <x:c r="D69" t="str">
        <x:v>Rental</x:v>
      </x:c>
      <x:c r="E69" t="n">
        <x:v>2</x:v>
      </x:c>
      <x:c r="F69" t="n">
        <x:v>25</x:v>
      </x:c>
      <x:c r="G69" t="n">
        <x:v>50</x:v>
      </x:c>
    </x:row>
    <x:row r="70">
      <x:c r="A70" t="n">
        <x:v>69</x:v>
      </x:c>
      <x:c r="B70" t="str">
        <x:v>2026-03-09</x:v>
      </x:c>
      <x:c r="C70" t="str">
        <x:v>Mouse</x:v>
      </x:c>
      <x:c r="D70" t="str">
        <x:v>Accessories</x:v>
      </x:c>
      <x:c r="E70" t="n">
        <x:v>3</x:v>
      </x:c>
      <x:c r="F70" t="n">
        <x:v>320</x:v>
      </x:c>
      <x:c r="G70" t="n">
        <x:v>960</x:v>
      </x:c>
    </x:row>
    <x:row r="71">
      <x:c r="A71" t="n">
        <x:v>70</x:v>
      </x:c>
      <x:c r="B71" t="str">
        <x:v>2026-03-10</x:v>
      </x:c>
      <x:c r="C71" t="str">
        <x:v>Photocopy</x:v>
      </x:c>
      <x:c r="D71" t="str">
        <x:v>Services</x:v>
      </x:c>
      <x:c r="E71" t="n">
        <x:v>5</x:v>
      </x:c>
      <x:c r="F71" t="n">
        <x:v>3</x:v>
      </x:c>
      <x:c r="G71" t="n">
        <x:v>15</x:v>
      </x:c>
    </x:row>
    <x:row r="72">
      <x:c r="A72" t="n">
        <x:v>71</x:v>
      </x:c>
      <x:c r="B72" t="str">
        <x:v>2026-03-11</x:v>
      </x:c>
      <x:c r="C72" t="str">
        <x:v>Computer Rental</x:v>
      </x:c>
      <x:c r="D72" t="str">
        <x:v>Rental</x:v>
      </x:c>
      <x:c r="E72" t="n">
        <x:v>3</x:v>
      </x:c>
      <x:c r="F72" t="n">
        <x:v>25</x:v>
      </x:c>
      <x:c r="G72" t="n">
        <x:v>75</x:v>
      </x:c>
    </x:row>
    <x:row r="73">
      <x:c r="A73" t="n">
        <x:v>72</x:v>
      </x:c>
      <x:c r="B73" t="str">
        <x:v>2026-03-13</x:v>
      </x:c>
      <x:c r="C73" t="str">
        <x:v>Mouse</x:v>
      </x:c>
      <x:c r="D73" t="str">
        <x:v>Accessories</x:v>
      </x:c>
      <x:c r="E73" t="n">
        <x:v>1</x:v>
      </x:c>
      <x:c r="F73" t="n">
        <x:v>320</x:v>
      </x:c>
      <x:c r="G73" t="n">
        <x:v>320</x:v>
      </x:c>
    </x:row>
    <x:row r="74">
      <x:c r="A74" t="n">
        <x:v>73</x:v>
      </x:c>
      <x:c r="B74" t="str">
        <x:v>2026-03-13</x:v>
      </x:c>
      <x:c r="C74" t="str">
        <x:v>Headset</x:v>
      </x:c>
      <x:c r="D74" t="str">
        <x:v>Accessories</x:v>
      </x:c>
      <x:c r="E74" t="n">
        <x:v>1</x:v>
      </x:c>
      <x:c r="F74" t="n">
        <x:v>690</x:v>
      </x:c>
      <x:c r="G74" t="n">
        <x:v>690</x:v>
      </x:c>
    </x:row>
    <x:row r="75">
      <x:c r="A75" t="n">
        <x:v>74</x:v>
      </x:c>
      <x:c r="B75" t="str">
        <x:v>2026-03-14</x:v>
      </x:c>
      <x:c r="C75" t="str">
        <x:v>Mouse</x:v>
      </x:c>
      <x:c r="D75" t="str">
        <x:v>Accessories</x:v>
      </x:c>
      <x:c r="E75" t="n">
        <x:v>3</x:v>
      </x:c>
      <x:c r="F75" t="n">
        <x:v>320</x:v>
      </x:c>
      <x:c r="G75" t="n">
        <x:v>960</x:v>
      </x:c>
    </x:row>
    <x:row r="76">
      <x:c r="A76" t="n">
        <x:v>75</x:v>
      </x:c>
      <x:c r="B76" t="str">
        <x:v>2026-03-14</x:v>
      </x:c>
      <x:c r="C76" t="str">
        <x:v>Keyboard</x:v>
      </x:c>
      <x:c r="D76" t="str">
        <x:v>Accessories</x:v>
      </x:c>
      <x:c r="E76" t="n">
        <x:v>2</x:v>
      </x:c>
      <x:c r="F76" t="n">
        <x:v>550</x:v>
      </x:c>
      <x:c r="G76" t="n">
        <x:v>1100</x:v>
      </x:c>
    </x:row>
    <x:row r="77">
      <x:c r="A77" t="n">
        <x:v>76</x:v>
      </x:c>
      <x:c r="B77" t="str">
        <x:v>2026-03-15</x:v>
      </x:c>
      <x:c r="C77" t="str">
        <x:v>Printing</x:v>
      </x:c>
      <x:c r="D77" t="str">
        <x:v>Services</x:v>
      </x:c>
      <x:c r="E77" t="n">
        <x:v>2</x:v>
      </x:c>
      <x:c r="F77" t="n">
        <x:v>8</x:v>
      </x:c>
      <x:c r="G77" t="n">
        <x:v>16</x:v>
      </x:c>
    </x:row>
    <x:row r="78">
      <x:c r="A78" t="n">
        <x:v>77</x:v>
      </x:c>
      <x:c r="B78" t="str">
        <x:v>2026-03-16</x:v>
      </x:c>
      <x:c r="C78" t="str">
        <x:v>Photocopy</x:v>
      </x:c>
      <x:c r="D78" t="str">
        <x:v>Services</x:v>
      </x:c>
      <x:c r="E78" t="n">
        <x:v>1</x:v>
      </x:c>
      <x:c r="F78" t="n">
        <x:v>3</x:v>
      </x:c>
      <x:c r="G78" t="n">
        <x:v>3</x:v>
      </x:c>
    </x:row>
    <x:row r="79">
      <x:c r="A79" t="n">
        <x:v>78</x:v>
      </x:c>
      <x:c r="B79" t="str">
        <x:v>2026-03-17</x:v>
      </x:c>
      <x:c r="C79" t="str">
        <x:v>Keyboard</x:v>
      </x:c>
      <x:c r="D79" t="str">
        <x:v>Accessories</x:v>
      </x:c>
      <x:c r="E79" t="n">
        <x:v>2</x:v>
      </x:c>
      <x:c r="F79" t="n">
        <x:v>550</x:v>
      </x:c>
      <x:c r="G79" t="n">
        <x:v>1100</x:v>
      </x:c>
    </x:row>
    <x:row r="80">
      <x:c r="A80" t="n">
        <x:v>79</x:v>
      </x:c>
      <x:c r="B80" t="str">
        <x:v>2026-03-17</x:v>
      </x:c>
      <x:c r="C80" t="str">
        <x:v>Headset</x:v>
      </x:c>
      <x:c r="D80" t="str">
        <x:v>Accessories</x:v>
      </x:c>
      <x:c r="E80" t="n">
        <x:v>3</x:v>
      </x:c>
      <x:c r="F80" t="n">
        <x:v>690</x:v>
      </x:c>
      <x:c r="G80" t="n">
        <x:v>2070</x:v>
      </x:c>
    </x:row>
    <x:row r="81">
      <x:c r="A81" t="n">
        <x:v>80</x:v>
      </x:c>
      <x:c r="B81" t="str">
        <x:v>2026-03-17</x:v>
      </x:c>
      <x:c r="C81" t="str">
        <x:v>Printing</x:v>
      </x:c>
      <x:c r="D81" t="str">
        <x:v>Services</x:v>
      </x:c>
      <x:c r="E81" t="n">
        <x:v>1</x:v>
      </x:c>
      <x:c r="F81" t="n">
        <x:v>8</x:v>
      </x:c>
      <x:c r="G81" t="n">
        <x:v>8</x:v>
      </x:c>
    </x:row>
    <x:row r="82">
      <x:c r="A82" t="n">
        <x:v>81</x:v>
      </x:c>
      <x:c r="B82" t="str">
        <x:v>2026-03-18</x:v>
      </x:c>
      <x:c r="C82" t="str">
        <x:v>Computer Rental</x:v>
      </x:c>
      <x:c r="D82" t="str">
        <x:v>Rental</x:v>
      </x:c>
      <x:c r="E82" t="n">
        <x:v>3</x:v>
      </x:c>
      <x:c r="F82" t="n">
        <x:v>25</x:v>
      </x:c>
      <x:c r="G82" t="n">
        <x:v>75</x:v>
      </x:c>
    </x:row>
    <x:row r="83">
      <x:c r="A83" t="n">
        <x:v>82</x:v>
      </x:c>
      <x:c r="B83" t="str">
        <x:v>2026-03-19</x:v>
      </x:c>
      <x:c r="C83" t="str">
        <x:v>USB Drive</x:v>
      </x:c>
      <x:c r="D83" t="str">
        <x:v>Accessories</x:v>
      </x:c>
      <x:c r="E83" t="n">
        <x:v>2</x:v>
      </x:c>
      <x:c r="F83" t="n">
        <x:v>280</x:v>
      </x:c>
      <x:c r="G83" t="n">
        <x:v>560</x:v>
      </x:c>
    </x:row>
    <x:row r="84">
      <x:c r="A84" t="n">
        <x:v>83</x:v>
      </x:c>
      <x:c r="B84" t="str">
        <x:v>2026-03-20</x:v>
      </x:c>
      <x:c r="C84" t="str">
        <x:v>Headset</x:v>
      </x:c>
      <x:c r="D84" t="str">
        <x:v>Accessories</x:v>
      </x:c>
      <x:c r="E84" t="n">
        <x:v>3</x:v>
      </x:c>
      <x:c r="F84" t="n">
        <x:v>690</x:v>
      </x:c>
      <x:c r="G84" t="n">
        <x:v>2070</x:v>
      </x:c>
    </x:row>
    <x:row r="85">
      <x:c r="A85" t="n">
        <x:v>84</x:v>
      </x:c>
      <x:c r="B85" t="str">
        <x:v>2026-03-21</x:v>
      </x:c>
      <x:c r="C85" t="str">
        <x:v>Headset</x:v>
      </x:c>
      <x:c r="D85" t="str">
        <x:v>Accessories</x:v>
      </x:c>
      <x:c r="E85" t="n">
        <x:v>3</x:v>
      </x:c>
      <x:c r="F85" t="n">
        <x:v>690</x:v>
      </x:c>
      <x:c r="G85" t="n">
        <x:v>2070</x:v>
      </x:c>
    </x:row>
    <x:row r="86">
      <x:c r="A86" t="n">
        <x:v>85</x:v>
      </x:c>
      <x:c r="B86" t="str">
        <x:v>2026-03-21</x:v>
      </x:c>
      <x:c r="C86" t="str">
        <x:v>USB Drive</x:v>
      </x:c>
      <x:c r="D86" t="str">
        <x:v>Accessories</x:v>
      </x:c>
      <x:c r="E86" t="n">
        <x:v>3</x:v>
      </x:c>
      <x:c r="F86" t="n">
        <x:v>280</x:v>
      </x:c>
      <x:c r="G86" t="n">
        <x:v>840</x:v>
      </x:c>
    </x:row>
    <x:row r="87">
      <x:c r="A87" t="n">
        <x:v>86</x:v>
      </x:c>
      <x:c r="B87" t="str">
        <x:v>2026-03-22</x:v>
      </x:c>
      <x:c r="C87" t="str">
        <x:v>Keyboard</x:v>
      </x:c>
      <x:c r="D87" t="str">
        <x:v>Accessories</x:v>
      </x:c>
      <x:c r="E87" t="n">
        <x:v>2</x:v>
      </x:c>
      <x:c r="F87" t="n">
        <x:v>550</x:v>
      </x:c>
      <x:c r="G87" t="n">
        <x:v>1100</x:v>
      </x:c>
    </x:row>
    <x:row r="88">
      <x:c r="A88" t="n">
        <x:v>87</x:v>
      </x:c>
      <x:c r="B88" t="str">
        <x:v>2026-03-23</x:v>
      </x:c>
      <x:c r="C88" t="str">
        <x:v>Keyboard</x:v>
      </x:c>
      <x:c r="D88" t="str">
        <x:v>Accessories</x:v>
      </x:c>
      <x:c r="E88" t="n">
        <x:v>2</x:v>
      </x:c>
      <x:c r="F88" t="n">
        <x:v>550</x:v>
      </x:c>
      <x:c r="G88" t="n">
        <x:v>1100</x:v>
      </x:c>
    </x:row>
    <x:row r="89">
      <x:c r="A89" t="n">
        <x:v>88</x:v>
      </x:c>
      <x:c r="B89" t="str">
        <x:v>2026-03-27</x:v>
      </x:c>
      <x:c r="C89" t="str">
        <x:v>Photocopy</x:v>
      </x:c>
      <x:c r="D89" t="str">
        <x:v>Services</x:v>
      </x:c>
      <x:c r="E89" t="n">
        <x:v>6</x:v>
      </x:c>
      <x:c r="F89" t="n">
        <x:v>3</x:v>
      </x:c>
      <x:c r="G89" t="n">
        <x:v>18</x:v>
      </x:c>
    </x:row>
    <x:row r="90">
      <x:c r="A90" t="n">
        <x:v>89</x:v>
      </x:c>
      <x:c r="B90" t="str">
        <x:v>2026-03-28</x:v>
      </x:c>
      <x:c r="C90" t="str">
        <x:v>Keyboard</x:v>
      </x:c>
      <x:c r="D90" t="str">
        <x:v>Accessories</x:v>
      </x:c>
      <x:c r="E90" t="n">
        <x:v>1</x:v>
      </x:c>
      <x:c r="F90" t="n">
        <x:v>550</x:v>
      </x:c>
      <x:c r="G90" t="n">
        <x:v>550</x:v>
      </x:c>
    </x:row>
    <x:row r="91">
      <x:c r="A91" t="n">
        <x:v>90</x:v>
      </x:c>
      <x:c r="B91" t="str">
        <x:v>2026-03-28</x:v>
      </x:c>
      <x:c r="C91" t="str">
        <x:v>Printing</x:v>
      </x:c>
      <x:c r="D91" t="str">
        <x:v>Services</x:v>
      </x:c>
      <x:c r="E91" t="n">
        <x:v>2</x:v>
      </x:c>
      <x:c r="F91" t="n">
        <x:v>8</x:v>
      </x:c>
      <x:c r="G91" t="n">
        <x:v>16</x:v>
      </x:c>
    </x:row>
    <x:row r="92">
      <x:c r="A92" t="n">
        <x:v>91</x:v>
      </x:c>
      <x:c r="B92" t="str">
        <x:v>2026-03-29</x:v>
      </x:c>
      <x:c r="C92" t="str">
        <x:v>Keyboard</x:v>
      </x:c>
      <x:c r="D92" t="str">
        <x:v>Accessories</x:v>
      </x:c>
      <x:c r="E92" t="n">
        <x:v>1</x:v>
      </x:c>
      <x:c r="F92" t="n">
        <x:v>550</x:v>
      </x:c>
      <x:c r="G92" t="n">
        <x:v>550</x:v>
      </x:c>
    </x:row>
    <x:row r="93">
      <x:c r="A93" t="n">
        <x:v>92</x:v>
      </x:c>
      <x:c r="B93" t="str">
        <x:v>2026-04-03</x:v>
      </x:c>
      <x:c r="C93" t="str">
        <x:v>Mouse</x:v>
      </x:c>
      <x:c r="D93" t="str">
        <x:v>Accessories</x:v>
      </x:c>
      <x:c r="E93" t="n">
        <x:v>3</x:v>
      </x:c>
      <x:c r="F93" t="n">
        <x:v>320</x:v>
      </x:c>
      <x:c r="G93" t="n">
        <x:v>960</x:v>
      </x:c>
    </x:row>
    <x:row r="94">
      <x:c r="A94" t="n">
        <x:v>93</x:v>
      </x:c>
      <x:c r="B94" t="str">
        <x:v>2026-04-03</x:v>
      </x:c>
      <x:c r="C94" t="str">
        <x:v>Computer Rental</x:v>
      </x:c>
      <x:c r="D94" t="str">
        <x:v>Rental</x:v>
      </x:c>
      <x:c r="E94" t="n">
        <x:v>3</x:v>
      </x:c>
      <x:c r="F94" t="n">
        <x:v>25</x:v>
      </x:c>
      <x:c r="G94" t="n">
        <x:v>75</x:v>
      </x:c>
    </x:row>
    <x:row r="95">
      <x:c r="A95" t="n">
        <x:v>94</x:v>
      </x:c>
      <x:c r="B95" t="str">
        <x:v>2026-04-05</x:v>
      </x:c>
      <x:c r="C95" t="str">
        <x:v>USB Drive</x:v>
      </x:c>
      <x:c r="D95" t="str">
        <x:v>Accessories</x:v>
      </x:c>
      <x:c r="E95" t="n">
        <x:v>3</x:v>
      </x:c>
      <x:c r="F95" t="n">
        <x:v>280</x:v>
      </x:c>
      <x:c r="G95" t="n">
        <x:v>840</x:v>
      </x:c>
    </x:row>
    <x:row r="96">
      <x:c r="A96" t="n">
        <x:v>95</x:v>
      </x:c>
      <x:c r="B96" t="str">
        <x:v>2026-04-06</x:v>
      </x:c>
      <x:c r="C96" t="str">
        <x:v>Printing</x:v>
      </x:c>
      <x:c r="D96" t="str">
        <x:v>Services</x:v>
      </x:c>
      <x:c r="E96" t="n">
        <x:v>1</x:v>
      </x:c>
      <x:c r="F96" t="n">
        <x:v>8</x:v>
      </x:c>
      <x:c r="G96" t="n">
        <x:v>8</x:v>
      </x:c>
    </x:row>
    <x:row r="97">
      <x:c r="A97" t="n">
        <x:v>96</x:v>
      </x:c>
      <x:c r="B97" t="str">
        <x:v>2026-04-07</x:v>
      </x:c>
      <x:c r="C97" t="str">
        <x:v>Headset</x:v>
      </x:c>
      <x:c r="D97" t="str">
        <x:v>Accessories</x:v>
      </x:c>
      <x:c r="E97" t="n">
        <x:v>1</x:v>
      </x:c>
      <x:c r="F97" t="n">
        <x:v>690</x:v>
      </x:c>
      <x:c r="G97" t="n">
        <x:v>690</x:v>
      </x:c>
    </x:row>
    <x:row r="98">
      <x:c r="A98" t="n">
        <x:v>97</x:v>
      </x:c>
      <x:c r="B98" t="str">
        <x:v>2026-04-08</x:v>
      </x:c>
      <x:c r="C98" t="str">
        <x:v>Computer Rental</x:v>
      </x:c>
      <x:c r="D98" t="str">
        <x:v>Rental</x:v>
      </x:c>
      <x:c r="E98" t="n">
        <x:v>2</x:v>
      </x:c>
      <x:c r="F98" t="n">
        <x:v>25</x:v>
      </x:c>
      <x:c r="G98" t="n">
        <x:v>50</x:v>
      </x:c>
    </x:row>
    <x:row r="99">
      <x:c r="A99" t="n">
        <x:v>98</x:v>
      </x:c>
      <x:c r="B99" t="str">
        <x:v>2026-04-08</x:v>
      </x:c>
      <x:c r="C99" t="str">
        <x:v>USB Drive</x:v>
      </x:c>
      <x:c r="D99" t="str">
        <x:v>Accessories</x:v>
      </x:c>
      <x:c r="E99" t="n">
        <x:v>1</x:v>
      </x:c>
      <x:c r="F99" t="n">
        <x:v>280</x:v>
      </x:c>
      <x:c r="G99" t="n">
        <x:v>280</x:v>
      </x:c>
    </x:row>
    <x:row r="100">
      <x:c r="A100" t="n">
        <x:v>99</x:v>
      </x:c>
      <x:c r="B100" t="str">
        <x:v>2026-04-10</x:v>
      </x:c>
      <x:c r="C100" t="str">
        <x:v>Mouse</x:v>
      </x:c>
      <x:c r="D100" t="str">
        <x:v>Accessories</x:v>
      </x:c>
      <x:c r="E100" t="n">
        <x:v>3</x:v>
      </x:c>
      <x:c r="F100" t="n">
        <x:v>320</x:v>
      </x:c>
      <x:c r="G100" t="n">
        <x:v>960</x:v>
      </x:c>
    </x:row>
    <x:row r="101">
      <x:c r="A101" t="n">
        <x:v>100</x:v>
      </x:c>
      <x:c r="B101" t="str">
        <x:v>2026-04-15</x:v>
      </x:c>
      <x:c r="C101" t="str">
        <x:v>Photocopy</x:v>
      </x:c>
      <x:c r="D101" t="str">
        <x:v>Services</x:v>
      </x:c>
      <x:c r="E101" t="n">
        <x:v>3</x:v>
      </x:c>
      <x:c r="F101" t="n">
        <x:v>3</x:v>
      </x:c>
      <x:c r="G101" t="n">
        <x:v>9</x:v>
      </x:c>
    </x:row>
    <x:row r="102">
      <x:c r="A102" t="n">
        <x:v>101</x:v>
      </x:c>
      <x:c r="B102" t="str">
        <x:v>2026-04-16</x:v>
      </x:c>
      <x:c r="C102" t="str">
        <x:v>USB Drive</x:v>
      </x:c>
      <x:c r="D102" t="str">
        <x:v>Accessories</x:v>
      </x:c>
      <x:c r="E102" t="n">
        <x:v>3</x:v>
      </x:c>
      <x:c r="F102" t="n">
        <x:v>280</x:v>
      </x:c>
      <x:c r="G102" t="n">
        <x:v>840</x:v>
      </x:c>
    </x:row>
    <x:row r="103">
      <x:c r="A103" t="n">
        <x:v>102</x:v>
      </x:c>
      <x:c r="B103" t="str">
        <x:v>2026-04-17</x:v>
      </x:c>
      <x:c r="C103" t="str">
        <x:v>Printing</x:v>
      </x:c>
      <x:c r="D103" t="str">
        <x:v>Services</x:v>
      </x:c>
      <x:c r="E103" t="n">
        <x:v>4</x:v>
      </x:c>
      <x:c r="F103" t="n">
        <x:v>8</x:v>
      </x:c>
      <x:c r="G103" t="n">
        <x:v>32</x:v>
      </x:c>
    </x:row>
    <x:row r="104">
      <x:c r="A104" t="n">
        <x:v>103</x:v>
      </x:c>
      <x:c r="B104" t="str">
        <x:v>2026-04-18</x:v>
      </x:c>
      <x:c r="C104" t="str">
        <x:v>Headset</x:v>
      </x:c>
      <x:c r="D104" t="str">
        <x:v>Accessories</x:v>
      </x:c>
      <x:c r="E104" t="n">
        <x:v>3</x:v>
      </x:c>
      <x:c r="F104" t="n">
        <x:v>690</x:v>
      </x:c>
      <x:c r="G104" t="n">
        <x:v>2070</x:v>
      </x:c>
    </x:row>
    <x:row r="105">
      <x:c r="A105" t="n">
        <x:v>104</x:v>
      </x:c>
      <x:c r="B105" t="str">
        <x:v>2026-04-18</x:v>
      </x:c>
      <x:c r="C105" t="str">
        <x:v>Printing</x:v>
      </x:c>
      <x:c r="D105" t="str">
        <x:v>Services</x:v>
      </x:c>
      <x:c r="E105" t="n">
        <x:v>2</x:v>
      </x:c>
      <x:c r="F105" t="n">
        <x:v>8</x:v>
      </x:c>
      <x:c r="G105" t="n">
        <x:v>16</x:v>
      </x:c>
    </x:row>
    <x:row r="106">
      <x:c r="A106" t="n">
        <x:v>105</x:v>
      </x:c>
      <x:c r="B106" t="str">
        <x:v>2026-04-19</x:v>
      </x:c>
      <x:c r="C106" t="str">
        <x:v>Photocopy</x:v>
      </x:c>
      <x:c r="D106" t="str">
        <x:v>Services</x:v>
      </x:c>
      <x:c r="E106" t="n">
        <x:v>4</x:v>
      </x:c>
      <x:c r="F106" t="n">
        <x:v>3</x:v>
      </x:c>
      <x:c r="G106" t="n">
        <x:v>12</x:v>
      </x:c>
    </x:row>
    <x:row r="107">
      <x:c r="A107" t="n">
        <x:v>106</x:v>
      </x:c>
      <x:c r="B107" t="str">
        <x:v>2026-04-19</x:v>
      </x:c>
      <x:c r="C107" t="str">
        <x:v>Printing</x:v>
      </x:c>
      <x:c r="D107" t="str">
        <x:v>Services</x:v>
      </x:c>
      <x:c r="E107" t="n">
        <x:v>1</x:v>
      </x:c>
      <x:c r="F107" t="n">
        <x:v>8</x:v>
      </x:c>
      <x:c r="G107" t="n">
        <x:v>8</x:v>
      </x:c>
    </x:row>
    <x:row r="108">
      <x:c r="A108" t="n">
        <x:v>107</x:v>
      </x:c>
      <x:c r="B108" t="str">
        <x:v>2026-04-19</x:v>
      </x:c>
      <x:c r="C108" t="str">
        <x:v>Headset</x:v>
      </x:c>
      <x:c r="D108" t="str">
        <x:v>Accessories</x:v>
      </x:c>
      <x:c r="E108" t="n">
        <x:v>3</x:v>
      </x:c>
      <x:c r="F108" t="n">
        <x:v>690</x:v>
      </x:c>
      <x:c r="G108" t="n">
        <x:v>2070</x:v>
      </x:c>
    </x:row>
    <x:row r="109">
      <x:c r="A109" t="n">
        <x:v>108</x:v>
      </x:c>
      <x:c r="B109" t="str">
        <x:v>2026-04-20</x:v>
      </x:c>
      <x:c r="C109" t="str">
        <x:v>Computer Rental</x:v>
      </x:c>
      <x:c r="D109" t="str">
        <x:v>Rental</x:v>
      </x:c>
      <x:c r="E109" t="n">
        <x:v>1</x:v>
      </x:c>
      <x:c r="F109" t="n">
        <x:v>25</x:v>
      </x:c>
      <x:c r="G109" t="n">
        <x:v>25</x:v>
      </x:c>
    </x:row>
    <x:row r="110">
      <x:c r="A110" t="n">
        <x:v>109</x:v>
      </x:c>
      <x:c r="B110" t="str">
        <x:v>2026-04-21</x:v>
      </x:c>
      <x:c r="C110" t="str">
        <x:v>Typing</x:v>
      </x:c>
      <x:c r="D110" t="str">
        <x:v>Services</x:v>
      </x:c>
      <x:c r="E110" t="n">
        <x:v>2</x:v>
      </x:c>
      <x:c r="F110" t="n">
        <x:v>45</x:v>
      </x:c>
      <x:c r="G110" t="n">
        <x:v>90</x:v>
      </x:c>
    </x:row>
    <x:row r="111">
      <x:c r="A111" t="n">
        <x:v>110</x:v>
      </x:c>
      <x:c r="B111" t="str">
        <x:v>2026-04-21</x:v>
      </x:c>
      <x:c r="C111" t="str">
        <x:v>Mouse</x:v>
      </x:c>
      <x:c r="D111" t="str">
        <x:v>Accessories</x:v>
      </x:c>
      <x:c r="E111" t="n">
        <x:v>1</x:v>
      </x:c>
      <x:c r="F111" t="n">
        <x:v>320</x:v>
      </x:c>
      <x:c r="G111" t="n">
        <x:v>320</x:v>
      </x:c>
    </x:row>
    <x:row r="112">
      <x:c r="A112" t="n">
        <x:v>111</x:v>
      </x:c>
      <x:c r="B112" t="str">
        <x:v>2026-04-24</x:v>
      </x:c>
      <x:c r="C112" t="str">
        <x:v>Printing</x:v>
      </x:c>
      <x:c r="D112" t="str">
        <x:v>Services</x:v>
      </x:c>
      <x:c r="E112" t="n">
        <x:v>2</x:v>
      </x:c>
      <x:c r="F112" t="n">
        <x:v>8</x:v>
      </x:c>
      <x:c r="G112" t="n">
        <x:v>16</x:v>
      </x:c>
    </x:row>
    <x:row r="113">
      <x:c r="A113" t="n">
        <x:v>112</x:v>
      </x:c>
      <x:c r="B113" t="str">
        <x:v>2026-04-25</x:v>
      </x:c>
      <x:c r="C113" t="str">
        <x:v>Printing</x:v>
      </x:c>
      <x:c r="D113" t="str">
        <x:v>Services</x:v>
      </x:c>
      <x:c r="E113" t="n">
        <x:v>2</x:v>
      </x:c>
      <x:c r="F113" t="n">
        <x:v>8</x:v>
      </x:c>
      <x:c r="G113" t="n">
        <x:v>16</x:v>
      </x:c>
    </x:row>
    <x:row r="114">
      <x:c r="A114" t="n">
        <x:v>113</x:v>
      </x:c>
      <x:c r="B114" t="str">
        <x:v>2026-04-26</x:v>
      </x:c>
      <x:c r="C114" t="str">
        <x:v>USB Drive</x:v>
      </x:c>
      <x:c r="D114" t="str">
        <x:v>Accessories</x:v>
      </x:c>
      <x:c r="E114" t="n">
        <x:v>1</x:v>
      </x:c>
      <x:c r="F114" t="n">
        <x:v>280</x:v>
      </x:c>
      <x:c r="G114" t="n">
        <x:v>280</x:v>
      </x:c>
    </x:row>
    <x:row r="115">
      <x:c r="A115" t="n">
        <x:v>114</x:v>
      </x:c>
      <x:c r="B115" t="str">
        <x:v>2026-04-27</x:v>
      </x:c>
      <x:c r="C115" t="str">
        <x:v>Printing</x:v>
      </x:c>
      <x:c r="D115" t="str">
        <x:v>Services</x:v>
      </x:c>
      <x:c r="E115" t="n">
        <x:v>4</x:v>
      </x:c>
      <x:c r="F115" t="n">
        <x:v>8</x:v>
      </x:c>
      <x:c r="G115" t="n">
        <x:v>32</x:v>
      </x:c>
    </x:row>
    <x:row r="116">
      <x:c r="A116" t="n">
        <x:v>115</x:v>
      </x:c>
      <x:c r="B116" t="str">
        <x:v>2026-04-28</x:v>
      </x:c>
      <x:c r="C116" t="str">
        <x:v>USB Drive</x:v>
      </x:c>
      <x:c r="D116" t="str">
        <x:v>Accessories</x:v>
      </x:c>
      <x:c r="E116" t="n">
        <x:v>1</x:v>
      </x:c>
      <x:c r="F116" t="n">
        <x:v>280</x:v>
      </x:c>
      <x:c r="G116" t="n">
        <x:v>280</x:v>
      </x:c>
    </x:row>
    <x:row r="117">
      <x:c r="A117" t="n">
        <x:v>116</x:v>
      </x:c>
      <x:c r="B117" t="str">
        <x:v>2026-04-30</x:v>
      </x:c>
      <x:c r="C117" t="str">
        <x:v>Computer Rental</x:v>
      </x:c>
      <x:c r="D117" t="str">
        <x:v>Rental</x:v>
      </x:c>
      <x:c r="E117" t="n">
        <x:v>1</x:v>
      </x:c>
      <x:c r="F117" t="n">
        <x:v>25</x:v>
      </x:c>
      <x:c r="G117" t="n">
        <x:v>25</x:v>
      </x:c>
    </x:row>
    <x:row r="118">
      <x:c r="A118" t="n">
        <x:v>117</x:v>
      </x:c>
      <x:c r="B118" t="str">
        <x:v>2026-05-04</x:v>
      </x:c>
      <x:c r="C118" t="str">
        <x:v>Headset</x:v>
      </x:c>
      <x:c r="D118" t="str">
        <x:v>Accessories</x:v>
      </x:c>
      <x:c r="E118" t="n">
        <x:v>3</x:v>
      </x:c>
      <x:c r="F118" t="n">
        <x:v>690</x:v>
      </x:c>
      <x:c r="G118" t="n">
        <x:v>2070</x:v>
      </x:c>
    </x:row>
    <x:row r="119">
      <x:c r="A119" t="n">
        <x:v>118</x:v>
      </x:c>
      <x:c r="B119" t="str">
        <x:v>2026-05-06</x:v>
      </x:c>
      <x:c r="C119" t="str">
        <x:v>Keyboard</x:v>
      </x:c>
      <x:c r="D119" t="str">
        <x:v>Accessories</x:v>
      </x:c>
      <x:c r="E119" t="n">
        <x:v>2</x:v>
      </x:c>
      <x:c r="F119" t="n">
        <x:v>550</x:v>
      </x:c>
      <x:c r="G119" t="n">
        <x:v>1100</x:v>
      </x:c>
    </x:row>
    <x:row r="120">
      <x:c r="A120" t="n">
        <x:v>119</x:v>
      </x:c>
      <x:c r="B120" t="str">
        <x:v>2026-05-06</x:v>
      </x:c>
      <x:c r="C120" t="str">
        <x:v>Printing</x:v>
      </x:c>
      <x:c r="D120" t="str">
        <x:v>Services</x:v>
      </x:c>
      <x:c r="E120" t="n">
        <x:v>6</x:v>
      </x:c>
      <x:c r="F120" t="n">
        <x:v>8</x:v>
      </x:c>
      <x:c r="G120" t="n">
        <x:v>48</x:v>
      </x:c>
    </x:row>
    <x:row r="121">
      <x:c r="A121" t="n">
        <x:v>120</x:v>
      </x:c>
      <x:c r="B121" t="str">
        <x:v>2026-05-07</x:v>
      </x:c>
      <x:c r="C121" t="str">
        <x:v>Typing</x:v>
      </x:c>
      <x:c r="D121" t="str">
        <x:v>Services</x:v>
      </x:c>
      <x:c r="E121" t="n">
        <x:v>3</x:v>
      </x:c>
      <x:c r="F121" t="n">
        <x:v>45</x:v>
      </x:c>
      <x:c r="G121" t="n">
        <x:v>135</x:v>
      </x:c>
    </x:row>
    <x:row r="122">
      <x:c r="A122" t="n">
        <x:v>121</x:v>
      </x:c>
      <x:c r="B122" t="str">
        <x:v>2026-05-08</x:v>
      </x:c>
      <x:c r="C122" t="str">
        <x:v>Keyboard</x:v>
      </x:c>
      <x:c r="D122" t="str">
        <x:v>Accessories</x:v>
      </x:c>
      <x:c r="E122" t="n">
        <x:v>1</x:v>
      </x:c>
      <x:c r="F122" t="n">
        <x:v>550</x:v>
      </x:c>
      <x:c r="G122" t="n">
        <x:v>550</x:v>
      </x:c>
    </x:row>
    <x:row r="123">
      <x:c r="A123" t="n">
        <x:v>122</x:v>
      </x:c>
      <x:c r="B123" t="str">
        <x:v>2026-05-08</x:v>
      </x:c>
      <x:c r="C123" t="str">
        <x:v>Keyboard</x:v>
      </x:c>
      <x:c r="D123" t="str">
        <x:v>Accessories</x:v>
      </x:c>
      <x:c r="E123" t="n">
        <x:v>1</x:v>
      </x:c>
      <x:c r="F123" t="n">
        <x:v>550</x:v>
      </x:c>
      <x:c r="G123" t="n">
        <x:v>550</x:v>
      </x:c>
    </x:row>
    <x:row r="124">
      <x:c r="A124" t="n">
        <x:v>123</x:v>
      </x:c>
      <x:c r="B124" t="str">
        <x:v>2026-05-09</x:v>
      </x:c>
      <x:c r="C124" t="str">
        <x:v>Mouse</x:v>
      </x:c>
      <x:c r="D124" t="str">
        <x:v>Accessories</x:v>
      </x:c>
      <x:c r="E124" t="n">
        <x:v>1</x:v>
      </x:c>
      <x:c r="F124" t="n">
        <x:v>320</x:v>
      </x:c>
      <x:c r="G124" t="n">
        <x:v>320</x:v>
      </x:c>
    </x:row>
    <x:row r="125">
      <x:c r="A125" t="n">
        <x:v>124</x:v>
      </x:c>
      <x:c r="B125" t="str">
        <x:v>2026-05-11</x:v>
      </x:c>
      <x:c r="C125" t="str">
        <x:v>Keyboard</x:v>
      </x:c>
      <x:c r="D125" t="str">
        <x:v>Accessories</x:v>
      </x:c>
      <x:c r="E125" t="n">
        <x:v>3</x:v>
      </x:c>
      <x:c r="F125" t="n">
        <x:v>550</x:v>
      </x:c>
      <x:c r="G125" t="n">
        <x:v>1650</x:v>
      </x:c>
    </x:row>
    <x:row r="126">
      <x:c r="A126" t="n">
        <x:v>125</x:v>
      </x:c>
      <x:c r="B126" t="str">
        <x:v>2026-05-12</x:v>
      </x:c>
      <x:c r="C126" t="str">
        <x:v>Keyboard</x:v>
      </x:c>
      <x:c r="D126" t="str">
        <x:v>Accessories</x:v>
      </x:c>
      <x:c r="E126" t="n">
        <x:v>2</x:v>
      </x:c>
      <x:c r="F126" t="n">
        <x:v>550</x:v>
      </x:c>
      <x:c r="G126" t="n">
        <x:v>1100</x:v>
      </x:c>
    </x:row>
    <x:row r="127">
      <x:c r="A127" t="n">
        <x:v>126</x:v>
      </x:c>
      <x:c r="B127" t="str">
        <x:v>2026-05-16</x:v>
      </x:c>
      <x:c r="C127" t="str">
        <x:v>Lamination</x:v>
      </x:c>
      <x:c r="D127" t="str">
        <x:v>Services</x:v>
      </x:c>
      <x:c r="E127" t="n">
        <x:v>6</x:v>
      </x:c>
      <x:c r="F127" t="n">
        <x:v>35</x:v>
      </x:c>
      <x:c r="G127" t="n">
        <x:v>210</x:v>
      </x:c>
    </x:row>
    <x:row r="128">
      <x:c r="A128" t="n">
        <x:v>127</x:v>
      </x:c>
      <x:c r="B128" t="str">
        <x:v>2026-05-17</x:v>
      </x:c>
      <x:c r="C128" t="str">
        <x:v>USB Drive</x:v>
      </x:c>
      <x:c r="D128" t="str">
        <x:v>Accessories</x:v>
      </x:c>
      <x:c r="E128" t="n">
        <x:v>2</x:v>
      </x:c>
      <x:c r="F128" t="n">
        <x:v>280</x:v>
      </x:c>
      <x:c r="G128" t="n">
        <x:v>560</x:v>
      </x:c>
    </x:row>
    <x:row r="129">
      <x:c r="A129" t="n">
        <x:v>128</x:v>
      </x:c>
      <x:c r="B129" t="str">
        <x:v>2026-05-18</x:v>
      </x:c>
      <x:c r="C129" t="str">
        <x:v>Keyboard</x:v>
      </x:c>
      <x:c r="D129" t="str">
        <x:v>Accessories</x:v>
      </x:c>
      <x:c r="E129" t="n">
        <x:v>3</x:v>
      </x:c>
      <x:c r="F129" t="n">
        <x:v>550</x:v>
      </x:c>
      <x:c r="G129" t="n">
        <x:v>1650</x:v>
      </x:c>
    </x:row>
    <x:row r="130">
      <x:c r="A130" t="n">
        <x:v>129</x:v>
      </x:c>
      <x:c r="B130" t="str">
        <x:v>2026-05-18</x:v>
      </x:c>
      <x:c r="C130" t="str">
        <x:v>Typing</x:v>
      </x:c>
      <x:c r="D130" t="str">
        <x:v>Services</x:v>
      </x:c>
      <x:c r="E130" t="n">
        <x:v>1</x:v>
      </x:c>
      <x:c r="F130" t="n">
        <x:v>45</x:v>
      </x:c>
      <x:c r="G130" t="n">
        <x:v>45</x:v>
      </x:c>
    </x:row>
    <x:row r="131">
      <x:c r="A131" t="n">
        <x:v>130</x:v>
      </x:c>
      <x:c r="B131" t="str">
        <x:v>2026-05-19</x:v>
      </x:c>
      <x:c r="C131" t="str">
        <x:v>Photocopy</x:v>
      </x:c>
      <x:c r="D131" t="str">
        <x:v>Services</x:v>
      </x:c>
      <x:c r="E131" t="n">
        <x:v>1</x:v>
      </x:c>
      <x:c r="F131" t="n">
        <x:v>3</x:v>
      </x:c>
      <x:c r="G131" t="n">
        <x:v>3</x:v>
      </x:c>
    </x:row>
    <x:row r="132">
      <x:c r="A132" t="n">
        <x:v>131</x:v>
      </x:c>
      <x:c r="B132" t="str">
        <x:v>2026-05-20</x:v>
      </x:c>
      <x:c r="C132" t="str">
        <x:v>Lamination</x:v>
      </x:c>
      <x:c r="D132" t="str">
        <x:v>Services</x:v>
      </x:c>
      <x:c r="E132" t="n">
        <x:v>6</x:v>
      </x:c>
      <x:c r="F132" t="n">
        <x:v>35</x:v>
      </x:c>
      <x:c r="G132" t="n">
        <x:v>210</x:v>
      </x:c>
    </x:row>
    <x:row r="133">
      <x:c r="A133" t="n">
        <x:v>132</x:v>
      </x:c>
      <x:c r="B133" t="str">
        <x:v>2026-05-20</x:v>
      </x:c>
      <x:c r="C133" t="str">
        <x:v>Computer Rental</x:v>
      </x:c>
      <x:c r="D133" t="str">
        <x:v>Rental</x:v>
      </x:c>
      <x:c r="E133" t="n">
        <x:v>1</x:v>
      </x:c>
      <x:c r="F133" t="n">
        <x:v>25</x:v>
      </x:c>
      <x:c r="G133" t="n">
        <x:v>25</x:v>
      </x:c>
    </x:row>
    <x:row r="134">
      <x:c r="A134" t="n">
        <x:v>133</x:v>
      </x:c>
      <x:c r="B134" t="str">
        <x:v>2026-05-20</x:v>
      </x:c>
      <x:c r="C134" t="str">
        <x:v>Computer Rental</x:v>
      </x:c>
      <x:c r="D134" t="str">
        <x:v>Rental</x:v>
      </x:c>
      <x:c r="E134" t="n">
        <x:v>2</x:v>
      </x:c>
      <x:c r="F134" t="n">
        <x:v>25</x:v>
      </x:c>
      <x:c r="G134" t="n">
        <x:v>50</x:v>
      </x:c>
    </x:row>
    <x:row r="135">
      <x:c r="A135" t="n">
        <x:v>134</x:v>
      </x:c>
      <x:c r="B135" t="str">
        <x:v>2026-05-21</x:v>
      </x:c>
      <x:c r="C135" t="str">
        <x:v>Printing</x:v>
      </x:c>
      <x:c r="D135" t="str">
        <x:v>Services</x:v>
      </x:c>
      <x:c r="E135" t="n">
        <x:v>3</x:v>
      </x:c>
      <x:c r="F135" t="n">
        <x:v>8</x:v>
      </x:c>
      <x:c r="G135" t="n">
        <x:v>24</x:v>
      </x:c>
    </x:row>
    <x:row r="136">
      <x:c r="A136" t="n">
        <x:v>135</x:v>
      </x:c>
      <x:c r="B136" t="str">
        <x:v>2026-05-21</x:v>
      </x:c>
      <x:c r="C136" t="str">
        <x:v>Typing</x:v>
      </x:c>
      <x:c r="D136" t="str">
        <x:v>Services</x:v>
      </x:c>
      <x:c r="E136" t="n">
        <x:v>3</x:v>
      </x:c>
      <x:c r="F136" t="n">
        <x:v>45</x:v>
      </x:c>
      <x:c r="G136" t="n">
        <x:v>135</x:v>
      </x:c>
    </x:row>
    <x:row r="137">
      <x:c r="A137" t="n">
        <x:v>136</x:v>
      </x:c>
      <x:c r="B137" t="str">
        <x:v>2026-05-23</x:v>
      </x:c>
      <x:c r="C137" t="str">
        <x:v>Lamination</x:v>
      </x:c>
      <x:c r="D137" t="str">
        <x:v>Services</x:v>
      </x:c>
      <x:c r="E137" t="n">
        <x:v>5</x:v>
      </x:c>
      <x:c r="F137" t="n">
        <x:v>35</x:v>
      </x:c>
      <x:c r="G137" t="n">
        <x:v>175</x:v>
      </x:c>
    </x:row>
    <x:row r="138">
      <x:c r="A138" t="n">
        <x:v>137</x:v>
      </x:c>
      <x:c r="B138" t="str">
        <x:v>2026-05-24</x:v>
      </x:c>
      <x:c r="C138" t="str">
        <x:v>Computer Rental</x:v>
      </x:c>
      <x:c r="D138" t="str">
        <x:v>Rental</x:v>
      </x:c>
      <x:c r="E138" t="n">
        <x:v>1</x:v>
      </x:c>
      <x:c r="F138" t="n">
        <x:v>25</x:v>
      </x:c>
      <x:c r="G138" t="n">
        <x:v>25</x:v>
      </x:c>
    </x:row>
    <x:row r="139">
      <x:c r="A139" t="n">
        <x:v>138</x:v>
      </x:c>
      <x:c r="B139" t="str">
        <x:v>2026-05-26</x:v>
      </x:c>
      <x:c r="C139" t="str">
        <x:v>USB Drive</x:v>
      </x:c>
      <x:c r="D139" t="str">
        <x:v>Accessories</x:v>
      </x:c>
      <x:c r="E139" t="n">
        <x:v>3</x:v>
      </x:c>
      <x:c r="F139" t="n">
        <x:v>280</x:v>
      </x:c>
      <x:c r="G139" t="n">
        <x:v>840</x:v>
      </x:c>
    </x:row>
    <x:row r="140">
      <x:c r="A140" t="n">
        <x:v>139</x:v>
      </x:c>
      <x:c r="B140" t="str">
        <x:v>2026-05-26</x:v>
      </x:c>
      <x:c r="C140" t="str">
        <x:v>Keyboard</x:v>
      </x:c>
      <x:c r="D140" t="str">
        <x:v>Accessories</x:v>
      </x:c>
      <x:c r="E140" t="n">
        <x:v>1</x:v>
      </x:c>
      <x:c r="F140" t="n">
        <x:v>550</x:v>
      </x:c>
      <x:c r="G140" t="n">
        <x:v>550</x:v>
      </x:c>
    </x:row>
    <x:row r="141">
      <x:c r="A141" t="n">
        <x:v>140</x:v>
      </x:c>
      <x:c r="B141" t="str">
        <x:v>2026-05-28</x:v>
      </x:c>
      <x:c r="C141" t="str">
        <x:v>Headset</x:v>
      </x:c>
      <x:c r="D141" t="str">
        <x:v>Accessories</x:v>
      </x:c>
      <x:c r="E141" t="n">
        <x:v>1</x:v>
      </x:c>
      <x:c r="F141" t="n">
        <x:v>690</x:v>
      </x:c>
      <x:c r="G141" t="n">
        <x:v>690</x:v>
      </x:c>
    </x:row>
    <x:row r="142">
      <x:c r="A142" t="n">
        <x:v>141</x:v>
      </x:c>
      <x:c r="B142" t="str">
        <x:v>2026-05-30</x:v>
      </x:c>
      <x:c r="C142" t="str">
        <x:v>Photocopy</x:v>
      </x:c>
      <x:c r="D142" t="str">
        <x:v>Services</x:v>
      </x:c>
      <x:c r="E142" t="n">
        <x:v>1</x:v>
      </x:c>
      <x:c r="F142" t="n">
        <x:v>3</x:v>
      </x:c>
      <x:c r="G142" t="n">
        <x:v>3</x:v>
      </x:c>
    </x:row>
    <x:row r="143">
      <x:c r="A143" t="n">
        <x:v>142</x:v>
      </x:c>
      <x:c r="B143" t="str">
        <x:v>2026-05-30</x:v>
      </x:c>
      <x:c r="C143" t="str">
        <x:v>Photocopy</x:v>
      </x:c>
      <x:c r="D143" t="str">
        <x:v>Services</x:v>
      </x:c>
      <x:c r="E143" t="n">
        <x:v>5</x:v>
      </x:c>
      <x:c r="F143" t="n">
        <x:v>3</x:v>
      </x:c>
      <x:c r="G143" t="n">
        <x:v>15</x:v>
      </x:c>
    </x:row>
    <x:row r="144">
      <x:c r="A144" t="n">
        <x:v>143</x:v>
      </x:c>
      <x:c r="B144" t="str">
        <x:v>2026-05-31</x:v>
      </x:c>
      <x:c r="C144" t="str">
        <x:v>Mouse</x:v>
      </x:c>
      <x:c r="D144" t="str">
        <x:v>Accessories</x:v>
      </x:c>
      <x:c r="E144" t="n">
        <x:v>3</x:v>
      </x:c>
      <x:c r="F144" t="n">
        <x:v>320</x:v>
      </x:c>
      <x:c r="G144" t="n">
        <x:v>960</x:v>
      </x:c>
    </x:row>
    <x:row r="145">
      <x:c r="A145" t="n">
        <x:v>144</x:v>
      </x:c>
      <x:c r="B145" t="str">
        <x:v>2026-05-31</x:v>
      </x:c>
      <x:c r="C145" t="str">
        <x:v>Keyboard</x:v>
      </x:c>
      <x:c r="D145" t="str">
        <x:v>Accessories</x:v>
      </x:c>
      <x:c r="E145" t="n">
        <x:v>3</x:v>
      </x:c>
      <x:c r="F145" t="n">
        <x:v>550</x:v>
      </x:c>
      <x:c r="G145" t="n">
        <x:v>1650</x:v>
      </x:c>
    </x:row>
    <x:row r="146">
      <x:c r="A146" t="n">
        <x:v>145</x:v>
      </x:c>
      <x:c r="B146" t="str">
        <x:v>2026-06-01</x:v>
      </x:c>
      <x:c r="C146" t="str">
        <x:v>USB Drive</x:v>
      </x:c>
      <x:c r="D146" t="str">
        <x:v>Accessories</x:v>
      </x:c>
      <x:c r="E146" t="n">
        <x:v>2</x:v>
      </x:c>
      <x:c r="F146" t="n">
        <x:v>280</x:v>
      </x:c>
      <x:c r="G146" t="n">
        <x:v>560</x:v>
      </x:c>
    </x:row>
    <x:row r="147">
      <x:c r="A147" t="n">
        <x:v>146</x:v>
      </x:c>
      <x:c r="B147" t="str">
        <x:v>2026-06-01</x:v>
      </x:c>
      <x:c r="C147" t="str">
        <x:v>Photocopy</x:v>
      </x:c>
      <x:c r="D147" t="str">
        <x:v>Services</x:v>
      </x:c>
      <x:c r="E147" t="n">
        <x:v>4</x:v>
      </x:c>
      <x:c r="F147" t="n">
        <x:v>3</x:v>
      </x:c>
      <x:c r="G147" t="n">
        <x:v>12</x:v>
      </x:c>
    </x:row>
    <x:row r="148">
      <x:c r="A148" t="n">
        <x:v>147</x:v>
      </x:c>
      <x:c r="B148" t="str">
        <x:v>2026-06-02</x:v>
      </x:c>
      <x:c r="C148" t="str">
        <x:v>Computer Rental</x:v>
      </x:c>
      <x:c r="D148" t="str">
        <x:v>Rental</x:v>
      </x:c>
      <x:c r="E148" t="n">
        <x:v>3</x:v>
      </x:c>
      <x:c r="F148" t="n">
        <x:v>25</x:v>
      </x:c>
      <x:c r="G148" t="n">
        <x:v>75</x:v>
      </x:c>
    </x:row>
    <x:row r="149">
      <x:c r="A149" t="n">
        <x:v>148</x:v>
      </x:c>
      <x:c r="B149" t="str">
        <x:v>2026-06-04</x:v>
      </x:c>
      <x:c r="C149" t="str">
        <x:v>Photocopy</x:v>
      </x:c>
      <x:c r="D149" t="str">
        <x:v>Services</x:v>
      </x:c>
      <x:c r="E149" t="n">
        <x:v>3</x:v>
      </x:c>
      <x:c r="F149" t="n">
        <x:v>3</x:v>
      </x:c>
      <x:c r="G149" t="n">
        <x:v>9</x:v>
      </x:c>
    </x:row>
    <x:row r="150">
      <x:c r="A150" t="n">
        <x:v>149</x:v>
      </x:c>
      <x:c r="B150" t="str">
        <x:v>2026-06-05</x:v>
      </x:c>
      <x:c r="C150" t="str">
        <x:v>Typing</x:v>
      </x:c>
      <x:c r="D150" t="str">
        <x:v>Services</x:v>
      </x:c>
      <x:c r="E150" t="n">
        <x:v>5</x:v>
      </x:c>
      <x:c r="F150" t="n">
        <x:v>45</x:v>
      </x:c>
      <x:c r="G150" t="n">
        <x:v>225</x:v>
      </x:c>
    </x:row>
    <x:row r="151">
      <x:c r="A151" t="n">
        <x:v>150</x:v>
      </x:c>
      <x:c r="B151" t="str">
        <x:v>2026-06-07</x:v>
      </x:c>
      <x:c r="C151" t="str">
        <x:v>Keyboard</x:v>
      </x:c>
      <x:c r="D151" t="str">
        <x:v>Accessories</x:v>
      </x:c>
      <x:c r="E151" t="n">
        <x:v>1</x:v>
      </x:c>
      <x:c r="F151" t="n">
        <x:v>550</x:v>
      </x:c>
      <x:c r="G151" t="n">
        <x:v>550</x:v>
      </x:c>
    </x:row>
    <x:row r="152">
      <x:c r="A152" t="n">
        <x:v>151</x:v>
      </x:c>
      <x:c r="B152" t="str">
        <x:v>2026-06-08</x:v>
      </x:c>
      <x:c r="C152" t="str">
        <x:v>Headset</x:v>
      </x:c>
      <x:c r="D152" t="str">
        <x:v>Accessories</x:v>
      </x:c>
      <x:c r="E152" t="n">
        <x:v>1</x:v>
      </x:c>
      <x:c r="F152" t="n">
        <x:v>690</x:v>
      </x:c>
      <x:c r="G152" t="n">
        <x:v>690</x:v>
      </x:c>
    </x:row>
    <x:row r="153">
      <x:c r="A153" t="n">
        <x:v>152</x:v>
      </x:c>
      <x:c r="B153" t="str">
        <x:v>2026-06-08</x:v>
      </x:c>
      <x:c r="C153" t="str">
        <x:v>Headset</x:v>
      </x:c>
      <x:c r="D153" t="str">
        <x:v>Accessories</x:v>
      </x:c>
      <x:c r="E153" t="n">
        <x:v>1</x:v>
      </x:c>
      <x:c r="F153" t="n">
        <x:v>690</x:v>
      </x:c>
      <x:c r="G153" t="n">
        <x:v>690</x:v>
      </x:c>
    </x:row>
    <x:row r="154">
      <x:c r="A154" t="n">
        <x:v>153</x:v>
      </x:c>
      <x:c r="B154" t="str">
        <x:v>2026-06-08</x:v>
      </x:c>
      <x:c r="C154" t="str">
        <x:v>Typing</x:v>
      </x:c>
      <x:c r="D154" t="str">
        <x:v>Services</x:v>
      </x:c>
      <x:c r="E154" t="n">
        <x:v>5</x:v>
      </x:c>
      <x:c r="F154" t="n">
        <x:v>45</x:v>
      </x:c>
      <x:c r="G154" t="n">
        <x:v>225</x:v>
      </x:c>
    </x:row>
    <x:row r="155">
      <x:c r="A155" t="n">
        <x:v>154</x:v>
      </x:c>
      <x:c r="B155" t="str">
        <x:v>2026-06-08</x:v>
      </x:c>
      <x:c r="C155" t="str">
        <x:v>Printing</x:v>
      </x:c>
      <x:c r="D155" t="str">
        <x:v>Services</x:v>
      </x:c>
      <x:c r="E155" t="n">
        <x:v>5</x:v>
      </x:c>
      <x:c r="F155" t="n">
        <x:v>8</x:v>
      </x:c>
      <x:c r="G155" t="n">
        <x:v>40</x:v>
      </x:c>
    </x:row>
    <x:row r="156">
      <x:c r="A156" t="n">
        <x:v>155</x:v>
      </x:c>
      <x:c r="B156" t="str">
        <x:v>2026-06-11</x:v>
      </x:c>
      <x:c r="C156" t="str">
        <x:v>Keyboard</x:v>
      </x:c>
      <x:c r="D156" t="str">
        <x:v>Accessories</x:v>
      </x:c>
      <x:c r="E156" t="n">
        <x:v>2</x:v>
      </x:c>
      <x:c r="F156" t="n">
        <x:v>550</x:v>
      </x:c>
      <x:c r="G156" t="n">
        <x:v>1100</x:v>
      </x:c>
    </x:row>
    <x:row r="157">
      <x:c r="A157" t="n">
        <x:v>156</x:v>
      </x:c>
      <x:c r="B157" t="str">
        <x:v>2026-06-12</x:v>
      </x:c>
      <x:c r="C157" t="str">
        <x:v>Printing</x:v>
      </x:c>
      <x:c r="D157" t="str">
        <x:v>Services</x:v>
      </x:c>
      <x:c r="E157" t="n">
        <x:v>2</x:v>
      </x:c>
      <x:c r="F157" t="n">
        <x:v>8</x:v>
      </x:c>
      <x:c r="G157" t="n">
        <x:v>16</x:v>
      </x:c>
    </x:row>
    <x:row r="158">
      <x:c r="A158" t="n">
        <x:v>157</x:v>
      </x:c>
      <x:c r="B158" t="str">
        <x:v>2026-06-13</x:v>
      </x:c>
      <x:c r="C158" t="str">
        <x:v>Lamination</x:v>
      </x:c>
      <x:c r="D158" t="str">
        <x:v>Services</x:v>
      </x:c>
      <x:c r="E158" t="n">
        <x:v>3</x:v>
      </x:c>
      <x:c r="F158" t="n">
        <x:v>35</x:v>
      </x:c>
      <x:c r="G158" t="n">
        <x:v>105</x:v>
      </x:c>
    </x:row>
    <x:row r="159">
      <x:c r="A159" t="n">
        <x:v>158</x:v>
      </x:c>
      <x:c r="B159" t="str">
        <x:v>2026-06-13</x:v>
      </x:c>
      <x:c r="C159" t="str">
        <x:v>Keyboard</x:v>
      </x:c>
      <x:c r="D159" t="str">
        <x:v>Accessories</x:v>
      </x:c>
      <x:c r="E159" t="n">
        <x:v>2</x:v>
      </x:c>
      <x:c r="F159" t="n">
        <x:v>550</x:v>
      </x:c>
      <x:c r="G159" t="n">
        <x:v>1100</x:v>
      </x:c>
    </x:row>
    <x:row r="160">
      <x:c r="A160" t="n">
        <x:v>159</x:v>
      </x:c>
      <x:c r="B160" t="str">
        <x:v>2026-06-14</x:v>
      </x:c>
      <x:c r="C160" t="str">
        <x:v>Lamination</x:v>
      </x:c>
      <x:c r="D160" t="str">
        <x:v>Services</x:v>
      </x:c>
      <x:c r="E160" t="n">
        <x:v>2</x:v>
      </x:c>
      <x:c r="F160" t="n">
        <x:v>35</x:v>
      </x:c>
      <x:c r="G160" t="n">
        <x:v>70</x:v>
      </x:c>
    </x:row>
    <x:row r="161">
      <x:c r="A161" t="n">
        <x:v>160</x:v>
      </x:c>
      <x:c r="B161" t="str">
        <x:v>2026-06-14</x:v>
      </x:c>
      <x:c r="C161" t="str">
        <x:v>Printing</x:v>
      </x:c>
      <x:c r="D161" t="str">
        <x:v>Services</x:v>
      </x:c>
      <x:c r="E161" t="n">
        <x:v>2</x:v>
      </x:c>
      <x:c r="F161" t="n">
        <x:v>8</x:v>
      </x:c>
      <x:c r="G161" t="n">
        <x:v>16</x:v>
      </x:c>
    </x:row>
    <x:row r="162">
      <x:c r="A162" t="n">
        <x:v>161</x:v>
      </x:c>
      <x:c r="B162" t="str">
        <x:v>2026-06-15</x:v>
      </x:c>
      <x:c r="C162" t="str">
        <x:v>Typing</x:v>
      </x:c>
      <x:c r="D162" t="str">
        <x:v>Services</x:v>
      </x:c>
      <x:c r="E162" t="n">
        <x:v>3</x:v>
      </x:c>
      <x:c r="F162" t="n">
        <x:v>45</x:v>
      </x:c>
      <x:c r="G162" t="n">
        <x:v>135</x:v>
      </x:c>
    </x:row>
    <x:row r="163">
      <x:c r="A163" t="n">
        <x:v>162</x:v>
      </x:c>
      <x:c r="B163" t="str">
        <x:v>2026-06-15</x:v>
      </x:c>
      <x:c r="C163" t="str">
        <x:v>Computer Rental</x:v>
      </x:c>
      <x:c r="D163" t="str">
        <x:v>Rental</x:v>
      </x:c>
      <x:c r="E163" t="n">
        <x:v>3</x:v>
      </x:c>
      <x:c r="F163" t="n">
        <x:v>25</x:v>
      </x:c>
      <x:c r="G163" t="n">
        <x:v>75</x:v>
      </x:c>
    </x:row>
    <x:row r="164">
      <x:c r="A164" t="n">
        <x:v>163</x:v>
      </x:c>
      <x:c r="B164" t="str">
        <x:v>2026-06-17</x:v>
      </x:c>
      <x:c r="C164" t="str">
        <x:v>Headset</x:v>
      </x:c>
      <x:c r="D164" t="str">
        <x:v>Accessories</x:v>
      </x:c>
      <x:c r="E164" t="n">
        <x:v>3</x:v>
      </x:c>
      <x:c r="F164" t="n">
        <x:v>690</x:v>
      </x:c>
      <x:c r="G164" t="n">
        <x:v>2070</x:v>
      </x:c>
    </x:row>
    <x:row r="165">
      <x:c r="A165" t="n">
        <x:v>164</x:v>
      </x:c>
      <x:c r="B165" t="str">
        <x:v>2026-06-18</x:v>
      </x:c>
      <x:c r="C165" t="str">
        <x:v>Photocopy</x:v>
      </x:c>
      <x:c r="D165" t="str">
        <x:v>Services</x:v>
      </x:c>
      <x:c r="E165" t="n">
        <x:v>6</x:v>
      </x:c>
      <x:c r="F165" t="n">
        <x:v>3</x:v>
      </x:c>
      <x:c r="G165" t="n">
        <x:v>18</x:v>
      </x:c>
    </x:row>
    <x:row r="166">
      <x:c r="A166" t="n">
        <x:v>165</x:v>
      </x:c>
      <x:c r="B166" t="str">
        <x:v>2026-06-19</x:v>
      </x:c>
      <x:c r="C166" t="str">
        <x:v>Photocopy</x:v>
      </x:c>
      <x:c r="D166" t="str">
        <x:v>Services</x:v>
      </x:c>
      <x:c r="E166" t="n">
        <x:v>3</x:v>
      </x:c>
      <x:c r="F166" t="n">
        <x:v>3</x:v>
      </x:c>
      <x:c r="G166" t="n">
        <x:v>9</x:v>
      </x:c>
    </x:row>
    <x:row r="167">
      <x:c r="A167" t="n">
        <x:v>166</x:v>
      </x:c>
      <x:c r="B167" t="str">
        <x:v>2026-06-19</x:v>
      </x:c>
      <x:c r="C167" t="str">
        <x:v>Keyboard</x:v>
      </x:c>
      <x:c r="D167" t="str">
        <x:v>Accessories</x:v>
      </x:c>
      <x:c r="E167" t="n">
        <x:v>1</x:v>
      </x:c>
      <x:c r="F167" t="n">
        <x:v>550</x:v>
      </x:c>
      <x:c r="G167" t="n">
        <x:v>550</x:v>
      </x:c>
    </x:row>
    <x:row r="168">
      <x:c r="A168" t="n">
        <x:v>167</x:v>
      </x:c>
      <x:c r="B168" t="str">
        <x:v>2026-06-19</x:v>
      </x:c>
      <x:c r="C168" t="str">
        <x:v>Lamination</x:v>
      </x:c>
      <x:c r="D168" t="str">
        <x:v>Services</x:v>
      </x:c>
      <x:c r="E168" t="n">
        <x:v>3</x:v>
      </x:c>
      <x:c r="F168" t="n">
        <x:v>35</x:v>
      </x:c>
      <x:c r="G168" t="n">
        <x:v>105</x:v>
      </x:c>
    </x:row>
    <x:row r="169">
      <x:c r="A169" t="n">
        <x:v>168</x:v>
      </x:c>
      <x:c r="B169" t="str">
        <x:v>2026-06-20</x:v>
      </x:c>
      <x:c r="C169" t="str">
        <x:v>Keyboard</x:v>
      </x:c>
      <x:c r="D169" t="str">
        <x:v>Accessories</x:v>
      </x:c>
      <x:c r="E169" t="n">
        <x:v>2</x:v>
      </x:c>
      <x:c r="F169" t="n">
        <x:v>550</x:v>
      </x:c>
      <x:c r="G169" t="n">
        <x:v>1100</x:v>
      </x:c>
    </x:row>
    <x:row r="170">
      <x:c r="A170" t="n">
        <x:v>169</x:v>
      </x:c>
      <x:c r="B170" t="str">
        <x:v>2026-06-21</x:v>
      </x:c>
      <x:c r="C170" t="str">
        <x:v>USB Drive</x:v>
      </x:c>
      <x:c r="D170" t="str">
        <x:v>Accessories</x:v>
      </x:c>
      <x:c r="E170" t="n">
        <x:v>2</x:v>
      </x:c>
      <x:c r="F170" t="n">
        <x:v>280</x:v>
      </x:c>
      <x:c r="G170" t="n">
        <x:v>560</x:v>
      </x:c>
    </x:row>
    <x:row r="171">
      <x:c r="A171" t="n">
        <x:v>170</x:v>
      </x:c>
      <x:c r="B171" t="str">
        <x:v>2026-06-21</x:v>
      </x:c>
      <x:c r="C171" t="str">
        <x:v>USB Drive</x:v>
      </x:c>
      <x:c r="D171" t="str">
        <x:v>Accessories</x:v>
      </x:c>
      <x:c r="E171" t="n">
        <x:v>3</x:v>
      </x:c>
      <x:c r="F171" t="n">
        <x:v>280</x:v>
      </x:c>
      <x:c r="G171" t="n">
        <x:v>840</x:v>
      </x:c>
    </x:row>
    <x:row r="172">
      <x:c r="A172" t="n">
        <x:v>171</x:v>
      </x:c>
      <x:c r="B172" t="str">
        <x:v>2026-06-21</x:v>
      </x:c>
      <x:c r="C172" t="str">
        <x:v>Computer Rental</x:v>
      </x:c>
      <x:c r="D172" t="str">
        <x:v>Rental</x:v>
      </x:c>
      <x:c r="E172" t="n">
        <x:v>1</x:v>
      </x:c>
      <x:c r="F172" t="n">
        <x:v>25</x:v>
      </x:c>
      <x:c r="G172" t="n">
        <x:v>25</x:v>
      </x:c>
    </x:row>
    <x:row r="173">
      <x:c r="A173" t="n">
        <x:v>172</x:v>
      </x:c>
      <x:c r="B173" t="str">
        <x:v>2026-06-22</x:v>
      </x:c>
      <x:c r="C173" t="str">
        <x:v>Computer Rental</x:v>
      </x:c>
      <x:c r="D173" t="str">
        <x:v>Rental</x:v>
      </x:c>
      <x:c r="E173" t="n">
        <x:v>1</x:v>
      </x:c>
      <x:c r="F173" t="n">
        <x:v>25</x:v>
      </x:c>
      <x:c r="G173" t="n">
        <x:v>25</x:v>
      </x:c>
    </x:row>
    <x:row r="174">
      <x:c r="A174" t="n">
        <x:v>173</x:v>
      </x:c>
      <x:c r="B174" t="str">
        <x:v>2026-06-22</x:v>
      </x:c>
      <x:c r="C174" t="str">
        <x:v>Headset</x:v>
      </x:c>
      <x:c r="D174" t="str">
        <x:v>Accessories</x:v>
      </x:c>
      <x:c r="E174" t="n">
        <x:v>3</x:v>
      </x:c>
      <x:c r="F174" t="n">
        <x:v>690</x:v>
      </x:c>
      <x:c r="G174" t="n">
        <x:v>2070</x:v>
      </x:c>
    </x:row>
    <x:row r="175">
      <x:c r="A175" t="n">
        <x:v>174</x:v>
      </x:c>
      <x:c r="B175" t="str">
        <x:v>2026-06-22</x:v>
      </x:c>
      <x:c r="C175" t="str">
        <x:v>Mouse</x:v>
      </x:c>
      <x:c r="D175" t="str">
        <x:v>Accessories</x:v>
      </x:c>
      <x:c r="E175" t="n">
        <x:v>2</x:v>
      </x:c>
      <x:c r="F175" t="n">
        <x:v>320</x:v>
      </x:c>
      <x:c r="G175" t="n">
        <x:v>640</x:v>
      </x:c>
    </x:row>
    <x:row r="176">
      <x:c r="A176" t="n">
        <x:v>175</x:v>
      </x:c>
      <x:c r="B176" t="str">
        <x:v>2026-06-23</x:v>
      </x:c>
      <x:c r="C176" t="str">
        <x:v>Mouse</x:v>
      </x:c>
      <x:c r="D176" t="str">
        <x:v>Accessories</x:v>
      </x:c>
      <x:c r="E176" t="n">
        <x:v>2</x:v>
      </x:c>
      <x:c r="F176" t="n">
        <x:v>320</x:v>
      </x:c>
      <x:c r="G176" t="n">
        <x:v>640</x:v>
      </x:c>
    </x:row>
    <x:row r="177">
      <x:c r="A177" t="n">
        <x:v>176</x:v>
      </x:c>
      <x:c r="B177" t="str">
        <x:v>2026-06-24</x:v>
      </x:c>
      <x:c r="C177" t="str">
        <x:v>Printing</x:v>
      </x:c>
      <x:c r="D177" t="str">
        <x:v>Services</x:v>
      </x:c>
      <x:c r="E177" t="n">
        <x:v>2</x:v>
      </x:c>
      <x:c r="F177" t="n">
        <x:v>8</x:v>
      </x:c>
      <x:c r="G177" t="n">
        <x:v>16</x:v>
      </x:c>
    </x:row>
    <x:row r="178">
      <x:c r="A178" t="n">
        <x:v>177</x:v>
      </x:c>
      <x:c r="B178" t="str">
        <x:v>2026-06-25</x:v>
      </x:c>
      <x:c r="C178" t="str">
        <x:v>Printing</x:v>
      </x:c>
      <x:c r="D178" t="str">
        <x:v>Services</x:v>
      </x:c>
      <x:c r="E178" t="n">
        <x:v>2</x:v>
      </x:c>
      <x:c r="F178" t="n">
        <x:v>8</x:v>
      </x:c>
      <x:c r="G178" t="n">
        <x:v>16</x:v>
      </x:c>
    </x:row>
    <x:row r="179">
      <x:c r="A179" t="n">
        <x:v>178</x:v>
      </x:c>
      <x:c r="B179" t="str">
        <x:v>2026-06-26</x:v>
      </x:c>
      <x:c r="C179" t="str">
        <x:v>Photocopy</x:v>
      </x:c>
      <x:c r="D179" t="str">
        <x:v>Services</x:v>
      </x:c>
      <x:c r="E179" t="n">
        <x:v>4</x:v>
      </x:c>
      <x:c r="F179" t="n">
        <x:v>3</x:v>
      </x:c>
      <x:c r="G179" t="n">
        <x:v>12</x:v>
      </x:c>
    </x:row>
    <x:row r="180">
      <x:c r="A180" t="n">
        <x:v>179</x:v>
      </x:c>
      <x:c r="B180" t="str">
        <x:v>2026-06-27</x:v>
      </x:c>
      <x:c r="C180" t="str">
        <x:v>Typing</x:v>
      </x:c>
      <x:c r="D180" t="str">
        <x:v>Services</x:v>
      </x:c>
      <x:c r="E180" t="n">
        <x:v>5</x:v>
      </x:c>
      <x:c r="F180" t="n">
        <x:v>45</x:v>
      </x:c>
      <x:c r="G180" t="n">
        <x:v>225</x:v>
      </x:c>
    </x:row>
    <x:row r="181">
      <x:c r="A181" t="n">
        <x:v>180</x:v>
      </x:c>
      <x:c r="B181" t="str">
        <x:v>2026-06-29</x:v>
      </x:c>
      <x:c r="C181" t="str">
        <x:v>USB Drive</x:v>
      </x:c>
      <x:c r="D181" t="str">
        <x:v>Accessories</x:v>
      </x:c>
      <x:c r="E181" t="n">
        <x:v>2</x:v>
      </x:c>
      <x:c r="F181" t="n">
        <x:v>280</x:v>
      </x:c>
      <x:c r="G181" t="n">
        <x:v>560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3" hidden="0" customWidth="1"/>
    <x:col min="2" max="2" width="21" hidden="0" customWidth="1"/>
    <x:col min="4" max="4" width="19" hidden="0" customWidth="1"/>
    <x:col min="5" max="5" width="19" hidden="0" customWidth="1"/>
  </x:cols>
  <x:sheetData>
    <x:row r="1" ht="34" customHeight="1">
      <x:c r="A1" s="3" t="str">
        <x:v>SHOPPULSE SALES ANALYSIS</x:v>
      </x:c>
      <x:c r="B1" s="3" t="str"/>
      <x:c r="C1" s="3" t="str"/>
      <x:c r="D1" s="3" t="str"/>
    </x:row>
    <x:row r="3">
      <x:c r="A3" s="7" t="str">
        <x:v>Metric</x:v>
      </x:c>
      <x:c r="B3" s="7" t="str">
        <x:v>Value</x:v>
      </x:c>
    </x:row>
    <x:row r="4">
      <x:c r="A4" t="str">
        <x:v>Total Revenue</x:v>
      </x:c>
      <x:c r="B4" t="n">
        <x:f>SUM('Sales Data'!G2:G181)</x:f>
        <x:v>82180</x:v>
      </x:c>
    </x:row>
    <x:row r="5">
      <x:c r="A5" t="str">
        <x:v>Transactions</x:v>
      </x:c>
      <x:c r="B5" t="n">
        <x:f>COUNTA('Sales Data'!A2:A181)</x:f>
        <x:v>180</x:v>
      </x:c>
    </x:row>
    <x:row r="6">
      <x:c r="A6" t="str">
        <x:v>Units Sold</x:v>
      </x:c>
      <x:c r="B6" t="n">
        <x:f>SUM('Sales Data'!E2:E181)</x:f>
        <x:v>451</x:v>
      </x:c>
    </x:row>
    <x:row r="9">
      <x:c r="A9" s="7" t="str">
        <x:v>Category</x:v>
      </x:c>
      <x:c r="B9" s="7" t="str">
        <x:v>Revenue</x:v>
      </x:c>
      <x:c r="D9" s="7" t="str">
        <x:v>Month</x:v>
      </x:c>
      <x:c r="E9" s="7" t="str">
        <x:v>Revenue</x:v>
      </x:c>
    </x:row>
    <x:row r="10">
      <x:c r="A10" t="str">
        <x:v>Services</x:v>
      </x:c>
      <x:c r="B10" t="n">
        <x:f>SUMIF('Sales Data'!D2:D181,A10,'Sales Data'!G2:G181)</x:f>
        <x:v>4650</x:v>
      </x:c>
      <x:c r="D10" t="str">
        <x:v>2026-01</x:v>
      </x:c>
      <x:c r="E10" t="n">
        <x:f>SUMIFS('Sales Data'!G2:G181,'Sales Data'!B2:B181,"&gt;=2026-01-01",'Sales Data'!B2:B181,"&lt;2026-02-01")</x:f>
        <x:v>11164</x:v>
      </x:c>
    </x:row>
    <x:row r="11">
      <x:c r="A11" t="str">
        <x:v>Accessories</x:v>
      </x:c>
      <x:c r="B11" t="n">
        <x:f>SUMIF('Sales Data'!D2:D181,A11,'Sales Data'!G2:G181)</x:f>
        <x:v>76380</x:v>
      </x:c>
      <x:c r="D11" t="str">
        <x:v>2026-02</x:v>
      </x:c>
      <x:c r="E11" t="n">
        <x:f>SUMIFS('Sales Data'!G2:G181,'Sales Data'!B2:B181,"&gt;=2026-02-01",'Sales Data'!B2:B181,"&lt;2026-03-01")</x:f>
        <x:v>13002</x:v>
      </x:c>
    </x:row>
    <x:row r="12">
      <x:c r="A12" t="str">
        <x:v>Rental</x:v>
      </x:c>
      <x:c r="B12" t="n">
        <x:f>SUMIF('Sales Data'!D2:D181,A12,'Sales Data'!G2:G181)</x:f>
        <x:v>1150</x:v>
      </x:c>
      <x:c r="D12" t="str">
        <x:v>2026-03</x:v>
      </x:c>
      <x:c r="E12" t="n">
        <x:f>SUMIFS('Sales Data'!G2:G181,'Sales Data'!B2:B181,"&gt;=2026-03-01",'Sales Data'!B2:B181,"&lt;2026-04-01")</x:f>
        <x:v>17493</x:v>
      </x:c>
    </x:row>
    <x:row r="13">
      <x:c r="A13" t="str">
        <x:v>Other</x:v>
      </x:c>
      <x:c r="B13" t="n">
        <x:f>SUMIF('Sales Data'!D2:D181,A13,'Sales Data'!G2:G181)</x:f>
        <x:v>0</x:v>
      </x:c>
      <x:c r="D13" t="str">
        <x:v>2026-04</x:v>
      </x:c>
      <x:c r="E13" t="n">
        <x:f>SUMIFS('Sales Data'!G2:G181,'Sales Data'!B2:B181,"&gt;=2026-04-01",'Sales Data'!B2:B181,"&lt;2026-05-01")</x:f>
        <x:v>10004</x:v>
      </x:c>
    </x:row>
    <x:row r="14">
      <x:c r="D14" t="str">
        <x:v>2026-05</x:v>
      </x:c>
      <x:c r="E14" t="n">
        <x:f>SUMIFS('Sales Data'!G2:G181,'Sales Data'!B2:B181,"&gt;=2026-05-01",'Sales Data'!B2:B181,"&lt;2026-06-01")</x:f>
        <x:v>15343</x:v>
      </x:c>
    </x:row>
    <x:row r="15">
      <x:c r="D15" t="str">
        <x:v>2026-06</x:v>
      </x:c>
      <x:c r="E15" t="n">
        <x:f>SUMIFS('Sales Data'!G2:G181,'Sales Data'!B2:B181,"&gt;=2026-06-01",'Sales Data'!B2:B181,"&lt;2026-07-01")</x:f>
        <x:v>15174</x:v>
      </x:c>
    </x:row>
  </x:sheetData>
  <x:pageMargins left="0.7" right="0.7" top="0.75" bottom="0.75" header="0.3" footer="0.3"/>
  <x:drawing xmlns:r="http://schemas.openxmlformats.org/officeDocument/2006/relationships" r:id="Rf206d0490249419e"/>
</x:worksheet>
</file>